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drawings/drawing7.xml" ContentType="application/vnd.openxmlformats-officedocument.drawing+xml"/>
  <Override PartName="/xl/comments4.xml" ContentType="application/vnd.openxmlformats-officedocument.spreadsheetml.comments+xml"/>
  <Override PartName="/xl/drawings/drawing8.xml" ContentType="application/vnd.openxmlformats-officedocument.drawing+xml"/>
  <Override PartName="/xl/comments5.xml" ContentType="application/vnd.openxmlformats-officedocument.spreadsheetml.comments+xml"/>
  <Override PartName="/xl/drawings/drawing9.xml" ContentType="application/vnd.openxmlformats-officedocument.drawing+xml"/>
  <Override PartName="/xl/comments6.xml" ContentType="application/vnd.openxmlformats-officedocument.spreadsheetml.comments+xml"/>
  <Override PartName="/xl/drawings/drawing10.xml" ContentType="application/vnd.openxmlformats-officedocument.drawing+xml"/>
  <Override PartName="/xl/comments7.xml" ContentType="application/vnd.openxmlformats-officedocument.spreadsheetml.comments+xml"/>
  <Override PartName="/xl/drawings/drawing11.xml" ContentType="application/vnd.openxmlformats-officedocument.drawing+xml"/>
  <Override PartName="/xl/comments8.xml" ContentType="application/vnd.openxmlformats-officedocument.spreadsheetml.comments+xml"/>
  <Override PartName="/xl/drawings/drawing12.xml" ContentType="application/vnd.openxmlformats-officedocument.drawing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Mi unidad\FORTIUS\04_Metodologia\01_Captacion\"/>
    </mc:Choice>
  </mc:AlternateContent>
  <xr:revisionPtr revIDLastSave="0" documentId="8_{3A812B62-9390-4D00-A218-10CCCE43C48D}" xr6:coauthVersionLast="47" xr6:coauthVersionMax="47" xr10:uidLastSave="{00000000-0000-0000-0000-000000000000}"/>
  <bookViews>
    <workbookView xWindow="600" yWindow="-120" windowWidth="28320" windowHeight="16440" firstSheet="1" activeTab="2" xr2:uid="{00000000-000D-0000-FFFF-FFFF00000000}"/>
  </bookViews>
  <sheets>
    <sheet name="Portada" sheetId="1" r:id="rId1"/>
    <sheet name="Índice" sheetId="2" r:id="rId2"/>
    <sheet name="1. Resumen" sheetId="3" r:id="rId3"/>
    <sheet name="2. Antecedentes" sheetId="4" r:id="rId4"/>
    <sheet name="3. Urbanas" sheetId="5" r:id="rId5"/>
    <sheet name="4. Inmueble" sheetId="6" r:id="rId6"/>
    <sheet name="5. Comp. Terreno" sheetId="7" r:id="rId7"/>
    <sheet name="6. Comp. Constr." sheetId="8" r:id="rId8"/>
    <sheet name="7. Ingresos" sheetId="9" r:id="rId9"/>
    <sheet name="8. Físico" sheetId="10" r:id="rId10"/>
    <sheet name="9. Conciliación" sheetId="11" r:id="rId11"/>
    <sheet name="10. Fotografías" sheetId="12" r:id="rId12"/>
  </sheets>
  <definedNames>
    <definedName name="_xlnm.Print_Area" localSheetId="2">'1. Resumen'!$A$1:$L$39</definedName>
    <definedName name="_xlnm.Print_Area" localSheetId="11">'10. Fotografías'!$A$1:$L$48</definedName>
    <definedName name="_xlnm.Print_Area" localSheetId="3">'2. Antecedentes'!$A$1:$L$45</definedName>
    <definedName name="_xlnm.Print_Area" localSheetId="4">'3. Urbanas'!$A$1:$L$48</definedName>
    <definedName name="_xlnm.Print_Area" localSheetId="5">'4. Inmueble'!$A$1:$L$48</definedName>
    <definedName name="_xlnm.Print_Area" localSheetId="6">'5. Comp. Terreno'!$A$1:$L$39</definedName>
    <definedName name="_xlnm.Print_Area" localSheetId="7">'6. Comp. Constr.'!$A$1:$L$39</definedName>
    <definedName name="_xlnm.Print_Area" localSheetId="8">'7. Ingresos'!$A$1:$L$47</definedName>
    <definedName name="_xlnm.Print_Area" localSheetId="9">'8. Físico'!$A$1:$L$43</definedName>
    <definedName name="_xlnm.Print_Area" localSheetId="10">'9. Conciliación'!$A$1:$L$42</definedName>
    <definedName name="_xlnm.Print_Area" localSheetId="1">Índice!$A$1:$L$24</definedName>
    <definedName name="_xlnm.Print_Area" localSheetId="0">Portada!$A$1:$L$43</definedName>
    <definedName name="VALOR_CONCLUIDO">'9. Conciliación'!$I$16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8" i="1" l="1"/>
  <c r="E36" i="1"/>
  <c r="A43" i="10"/>
  <c r="Q26" i="11"/>
  <c r="L17" i="8"/>
  <c r="K17" i="8"/>
  <c r="L17" i="7"/>
  <c r="K17" i="7"/>
  <c r="D39" i="11"/>
  <c r="D37" i="11"/>
  <c r="A28" i="3"/>
  <c r="A17" i="11"/>
  <c r="Q19" i="11"/>
  <c r="Q20" i="11" s="1"/>
  <c r="Q23" i="11" s="1"/>
  <c r="Q21" i="11"/>
  <c r="Q24" i="11" s="1"/>
  <c r="Q22" i="11"/>
  <c r="Q25" i="11"/>
  <c r="U30" i="11"/>
  <c r="I2" i="2"/>
  <c r="N27" i="9"/>
  <c r="N27" i="8"/>
  <c r="N27" i="7"/>
  <c r="A42" i="11"/>
  <c r="A39" i="3"/>
  <c r="A42" i="1"/>
  <c r="I2" i="12"/>
  <c r="I2" i="11"/>
  <c r="I2" i="10"/>
  <c r="I2" i="9"/>
  <c r="I2" i="8"/>
  <c r="I2" i="7"/>
  <c r="I2" i="6"/>
  <c r="I2" i="5"/>
  <c r="I2" i="4"/>
  <c r="I2" i="3"/>
  <c r="A12" i="1"/>
  <c r="J21" i="8"/>
  <c r="J21" i="7"/>
  <c r="J11" i="10" s="1"/>
  <c r="Q28" i="4"/>
  <c r="Q15" i="11" s="1"/>
  <c r="L19" i="10"/>
  <c r="D11" i="10"/>
  <c r="I35" i="11"/>
  <c r="D35" i="11"/>
  <c r="I34" i="11"/>
  <c r="D34" i="11"/>
  <c r="D14" i="11"/>
  <c r="I13" i="11"/>
  <c r="I12" i="11"/>
  <c r="I11" i="11"/>
  <c r="K25" i="10"/>
  <c r="K24" i="10"/>
  <c r="K23" i="10"/>
  <c r="K26" i="10" s="1"/>
  <c r="G18" i="10"/>
  <c r="I18" i="10" s="1"/>
  <c r="F18" i="10"/>
  <c r="E18" i="10"/>
  <c r="H18" i="10" s="1"/>
  <c r="C18" i="10"/>
  <c r="A18" i="10"/>
  <c r="G17" i="10"/>
  <c r="I17" i="10" s="1"/>
  <c r="F17" i="10"/>
  <c r="E17" i="10"/>
  <c r="H17" i="10" s="1"/>
  <c r="C17" i="10"/>
  <c r="A17" i="10"/>
  <c r="G16" i="10"/>
  <c r="I16" i="10" s="1"/>
  <c r="F16" i="10"/>
  <c r="E16" i="10"/>
  <c r="H16" i="10" s="1"/>
  <c r="C16" i="10"/>
  <c r="A16" i="10"/>
  <c r="G15" i="10"/>
  <c r="I15" i="10" s="1"/>
  <c r="F15" i="10"/>
  <c r="E15" i="10"/>
  <c r="H15" i="10" s="1"/>
  <c r="C15" i="10"/>
  <c r="A15" i="10"/>
  <c r="D10" i="10"/>
  <c r="Q101" i="9"/>
  <c r="K16" i="9" s="1"/>
  <c r="Q82" i="9"/>
  <c r="Q63" i="9"/>
  <c r="I47" i="9"/>
  <c r="C47" i="9"/>
  <c r="I46" i="9"/>
  <c r="C46" i="9"/>
  <c r="I45" i="9"/>
  <c r="C45" i="9"/>
  <c r="Q44" i="9"/>
  <c r="K13" i="9" s="1"/>
  <c r="I44" i="9"/>
  <c r="C44" i="9"/>
  <c r="I43" i="9"/>
  <c r="C43" i="9"/>
  <c r="Q25" i="9"/>
  <c r="Q101" i="8"/>
  <c r="Q82" i="8"/>
  <c r="K14" i="8" s="1"/>
  <c r="Q63" i="8"/>
  <c r="K13" i="8" s="1"/>
  <c r="Q44" i="8"/>
  <c r="K12" i="8" s="1"/>
  <c r="I39" i="8"/>
  <c r="C39" i="8"/>
  <c r="I38" i="8"/>
  <c r="C38" i="8"/>
  <c r="I37" i="8"/>
  <c r="C37" i="8"/>
  <c r="I36" i="8"/>
  <c r="C36" i="8"/>
  <c r="I35" i="8"/>
  <c r="C35" i="8"/>
  <c r="Q25" i="8"/>
  <c r="Q101" i="7"/>
  <c r="K15" i="7" s="1"/>
  <c r="Q82" i="7"/>
  <c r="Q63" i="7"/>
  <c r="K13" i="7" s="1"/>
  <c r="Q44" i="7"/>
  <c r="I39" i="7"/>
  <c r="C39" i="7"/>
  <c r="I38" i="7"/>
  <c r="C38" i="7"/>
  <c r="I37" i="7"/>
  <c r="C37" i="7"/>
  <c r="I36" i="7"/>
  <c r="C36" i="7"/>
  <c r="I35" i="7"/>
  <c r="C35" i="7"/>
  <c r="Q25" i="7"/>
  <c r="K11" i="7" s="1"/>
  <c r="D19" i="7"/>
  <c r="Q16" i="6"/>
  <c r="D19" i="8" s="1"/>
  <c r="A24" i="4"/>
  <c r="E23" i="4"/>
  <c r="A30" i="3"/>
  <c r="H26" i="3"/>
  <c r="H25" i="3"/>
  <c r="H24" i="3"/>
  <c r="I20" i="3"/>
  <c r="D20" i="3"/>
  <c r="I19" i="3"/>
  <c r="D19" i="3"/>
  <c r="I18" i="3"/>
  <c r="D18" i="3"/>
  <c r="I15" i="3"/>
  <c r="D15" i="3"/>
  <c r="I14" i="3"/>
  <c r="D14" i="3"/>
  <c r="D13" i="3"/>
  <c r="D12" i="3"/>
  <c r="D11" i="3"/>
  <c r="D10" i="3"/>
  <c r="E34" i="1"/>
  <c r="E33" i="1"/>
  <c r="E32" i="1"/>
  <c r="E31" i="1"/>
  <c r="E30" i="1"/>
  <c r="E29" i="1"/>
  <c r="E28" i="1"/>
  <c r="E11" i="7" l="1"/>
  <c r="F11" i="7" s="1"/>
  <c r="L11" i="7" s="1"/>
  <c r="E11" i="8"/>
  <c r="F11" i="8" s="1"/>
  <c r="K11" i="8"/>
  <c r="J17" i="10"/>
  <c r="K17" i="10" s="1"/>
  <c r="E12" i="8"/>
  <c r="F12" i="8" s="1"/>
  <c r="L12" i="8" s="1"/>
  <c r="Q24" i="6"/>
  <c r="K12" i="7"/>
  <c r="K15" i="9"/>
  <c r="E13" i="8"/>
  <c r="F13" i="8" s="1"/>
  <c r="L13" i="8" s="1"/>
  <c r="E15" i="8"/>
  <c r="F15" i="8" s="1"/>
  <c r="J15" i="10"/>
  <c r="K15" i="10" s="1"/>
  <c r="L15" i="10" s="1"/>
  <c r="I14" i="11"/>
  <c r="E13" i="7"/>
  <c r="F13" i="7" s="1"/>
  <c r="E15" i="9"/>
  <c r="F15" i="9" s="1"/>
  <c r="L15" i="9" s="1"/>
  <c r="E14" i="8"/>
  <c r="F14" i="8" s="1"/>
  <c r="L14" i="8" s="1"/>
  <c r="J16" i="10"/>
  <c r="K16" i="10" s="1"/>
  <c r="L16" i="10" s="1"/>
  <c r="J18" i="10"/>
  <c r="K18" i="10" s="1"/>
  <c r="L18" i="10" s="1"/>
  <c r="L13" i="7"/>
  <c r="L17" i="10"/>
  <c r="I16" i="11"/>
  <c r="K14" i="7"/>
  <c r="K15" i="8"/>
  <c r="E15" i="7"/>
  <c r="F15" i="7" s="1"/>
  <c r="L15" i="7" s="1"/>
  <c r="E12" i="9"/>
  <c r="F12" i="9" s="1"/>
  <c r="K12" i="9"/>
  <c r="E13" i="9"/>
  <c r="F13" i="9" s="1"/>
  <c r="L13" i="9" s="1"/>
  <c r="E14" i="9"/>
  <c r="F14" i="9" s="1"/>
  <c r="E12" i="7"/>
  <c r="F12" i="7" s="1"/>
  <c r="L12" i="7" s="1"/>
  <c r="K14" i="9"/>
  <c r="E16" i="9"/>
  <c r="F16" i="9" s="1"/>
  <c r="L16" i="9" s="1"/>
  <c r="E14" i="7"/>
  <c r="F14" i="7" s="1"/>
  <c r="L11" i="8" l="1"/>
  <c r="L15" i="8"/>
  <c r="L14" i="9"/>
  <c r="H27" i="3"/>
  <c r="L12" i="9"/>
  <c r="L17" i="9" s="1"/>
  <c r="L14" i="7"/>
  <c r="L16" i="7" s="1"/>
  <c r="L16" i="8" l="1"/>
  <c r="J19" i="8" s="1"/>
  <c r="F11" i="11" s="1"/>
  <c r="J24" i="3" s="1"/>
  <c r="L18" i="9"/>
  <c r="H20" i="9" s="1"/>
  <c r="H21" i="9" s="1"/>
  <c r="J19" i="7"/>
  <c r="J10" i="10" l="1"/>
  <c r="J28" i="10" s="1"/>
  <c r="F13" i="11" s="1"/>
  <c r="J26" i="3" s="1"/>
  <c r="H25" i="9"/>
  <c r="H26" i="9" s="1"/>
  <c r="H28" i="9" l="1"/>
  <c r="H31" i="9" s="1"/>
  <c r="H34" i="9" s="1"/>
  <c r="F12" i="11" s="1"/>
  <c r="J2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10" authorId="0" shapeId="0" xr:uid="{00000000-0006-0000-0300-000001000000}">
      <text>
        <r>
          <rPr>
            <sz val="11"/>
            <color theme="1"/>
            <rFont val="Calibri"/>
          </rPr>
          <t>Fecha a la que corresponde el valor. Puede ser distinta de inspección y emisión. No usar precios posteriores a esta fecha. Consulta y emisión se registran por separado.</t>
        </r>
      </text>
    </comment>
    <comment ref="Q13" authorId="0" shapeId="0" xr:uid="{00000000-0006-0000-0300-000002000000}">
      <text>
        <r>
          <rPr>
            <sz val="11"/>
            <color theme="1"/>
            <rFont val="Calibri"/>
          </rPr>
          <t>Terreno: compara precio total de terrenos / m² de terreno. Construcción o Privativa: compara el precio total del inmueble, incluido su terreno o indiviso, / m² de la base elegida. Nunca sumes después otro valor de terreno al resultado de mercado.</t>
        </r>
      </text>
    </comment>
    <comment ref="Q14" authorId="0" shapeId="0" xr:uid="{00000000-0006-0000-0300-000005000000}">
      <text>
        <r>
          <rPr>
            <sz val="11"/>
            <color theme="1"/>
            <rFont val="Calibri"/>
          </rPr>
          <t>Después de cambiar datos, fuentes, alcance o metodología, incrementa la versión y vuelve a revisar la conciliación. El libro no registra un historial automático.</t>
        </r>
      </text>
    </comment>
    <comment ref="Q16" authorId="0" shapeId="0" xr:uid="{00000000-0006-0000-0300-000004000000}">
      <text>
        <r>
          <rPr>
            <sz val="11"/>
            <color theme="1"/>
            <rFont val="Calibri"/>
          </rPr>
          <t>Tipo de cambio manual y documentado. Solo se exige si hay fuentes en USD. Captura pesos por dólar; no se actualiza por Internet. Revisa compatibilidad de fecha y moneda.</t>
        </r>
      </text>
    </comment>
    <comment ref="Q22" authorId="0" shapeId="0" xr:uid="{00000000-0006-0000-0300-000003000000}">
      <text>
        <r>
          <rPr>
            <sz val="11"/>
            <color theme="1"/>
            <rFont val="Calibri"/>
          </rPr>
          <t>Compara 04, títulos y fuentes de superficie. Una discrepancia material sin explicar impide concluir. En condominio no apliques al departamento el terreno total del conjunto: documenta el área atribuible y los derechos.</t>
        </r>
      </text>
    </comment>
    <comment ref="A37" authorId="0" shapeId="0" xr:uid="{00000000-0006-0000-0300-000006000000}">
      <text>
        <r>
          <rPr>
            <sz val="11"/>
            <color theme="1"/>
            <rFont val="Calibri"/>
          </rPr>
          <t>Registra un documento por fila: ID del expediente, nombre, fecha y qué dato sustenta. No afirmes que revisaste originales si solo recibiste copias.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0" authorId="0" shapeId="0" xr:uid="{00000000-0006-0000-0400-000002000000}">
      <text>
        <r>
          <rPr>
            <sz val="11"/>
            <color theme="1"/>
            <rFont val="Calibri"/>
          </rPr>
          <t>Distingue datos observados y documentados; indica fecha y fuente. Evita calificar a la población por categorías socioeconómicas sin método ni necesidad.</t>
        </r>
      </text>
    </comment>
    <comment ref="E13" authorId="0" shapeId="0" xr:uid="{00000000-0006-0000-0400-000001000000}">
      <text>
        <r>
          <rPr>
            <sz val="11"/>
            <color theme="1"/>
            <rFont val="Calibri"/>
          </rPr>
          <t>No equipares uso observado con uso autorizado. Cita documento municipal, fuente y fecha; si no se verificó, indícalo.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0" authorId="0" shapeId="0" xr:uid="{00000000-0006-0000-0500-000001000000}">
      <text>
        <r>
          <rPr>
            <sz val="11"/>
            <color theme="1"/>
            <rFont val="Calibri"/>
          </rPr>
          <t>m² de terreno efectivamente atribuibles al derecho valorado; no duplicar áreas comunes ni aplicar el terreno íntegro del conjunto a una sola unidad. Documenta la operación y el origen en Q9:Q10; confirma revisión en Q22.</t>
        </r>
      </text>
    </comment>
    <comment ref="D19" authorId="0" shapeId="0" xr:uid="{00000000-0006-0000-0500-000002000000}">
      <text>
        <r>
          <rPr>
            <sz val="11"/>
            <color theme="1"/>
            <rFont val="Calibri"/>
          </rPr>
          <t>Superficie total construida documentada/adoptada. Si comparas áreas privativas, captura esa área en Q13 y elige Privativa en Antecedentes Q13. No mezcles bases entre sujeto y fuentes.</t>
        </r>
      </text>
    </comment>
    <comment ref="G31" authorId="0" shapeId="0" xr:uid="{00000000-0006-0000-0500-000004000000}">
      <text>
        <r>
          <rPr>
            <sz val="11"/>
            <color theme="1"/>
            <rFont val="Calibri"/>
          </rPr>
          <t>Clave de conservación del cuadro de referencia en 8. Físico: 1 óptimo, 2 bueno, 3 regular, 4 malo, 5 muy malo, 6 ruinoso. Se verifica su pertinencia para cada construcción. Captura como número.</t>
        </r>
      </text>
    </comment>
    <comment ref="G32" authorId="0" shapeId="0" xr:uid="{00000000-0006-0000-0500-000005000000}">
      <text>
        <r>
          <rPr>
            <sz val="11"/>
            <color theme="1"/>
            <rFont val="Calibri"/>
          </rPr>
          <t>Clave de conservación del cuadro de referencia en 8. Físico: 1 óptimo, 2 bueno, 3 regular, 4 malo, 5 muy malo, 6 ruinoso. Se verifica su pertinencia para cada construcción. Captura como número.</t>
        </r>
      </text>
    </comment>
    <comment ref="G33" authorId="0" shapeId="0" xr:uid="{00000000-0006-0000-0500-000006000000}">
      <text>
        <r>
          <rPr>
            <sz val="11"/>
            <color theme="1"/>
            <rFont val="Calibri"/>
          </rPr>
          <t>Clave de conservación del cuadro de referencia en 8. Físico: 1 óptimo, 2 bueno, 3 regular, 4 malo, 5 muy malo, 6 ruinoso. Se verifica su pertinencia para cada construcción. Captura como número.</t>
        </r>
      </text>
    </comment>
    <comment ref="G34" authorId="0" shapeId="0" xr:uid="{00000000-0006-0000-0500-000007000000}">
      <text>
        <r>
          <rPr>
            <sz val="11"/>
            <color theme="1"/>
            <rFont val="Calibri"/>
          </rPr>
          <t>Clave de conservación del cuadro de referencia en 8. Físico: 1 óptimo, 2 bueno, 3 regular, 4 malo, 5 muy malo, 6 ruinoso. Se verifica su pertinencia para cada construcción. Captura como número.</t>
        </r>
      </text>
    </comment>
    <comment ref="D37" authorId="0" shapeId="0" xr:uid="{00000000-0006-0000-0500-000003000000}">
      <text>
        <r>
          <rPr>
            <sz val="11"/>
            <color theme="1"/>
            <rFont val="Calibri"/>
          </rPr>
          <t>Prefija el dato: Documentado, Observado o Declarado, seguido de la fuente. Elementos ocultos no pueden calificarse como observados por una visita visual. Usa No determinado o No aplica cuando corresponda.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8" authorId="0" shapeId="0" xr:uid="{00000000-0006-0000-0600-000001000000}">
      <text>
        <r>
          <rPr>
            <sz val="11"/>
            <color theme="1"/>
            <rFont val="Calibri"/>
          </rPr>
          <t>Usa una misma clase de evidencia por enfoque. No mezcles ofertas con cierres/contratos como si fueran equivalentes. Si no existe evidencia suficiente, mantén el enfoque excluido.</t>
        </r>
      </text>
    </comment>
    <comment ref="B11" authorId="0" shapeId="0" xr:uid="{00000000-0006-0000-0600-000002000000}">
      <text>
        <r>
          <rPr>
            <sz val="11"/>
            <color theme="1"/>
            <rFont val="Calibri"/>
          </rPr>
          <t>Captura ubicación breve y características que permitan identificar el inmueble. La evidencia y decisión de T1 se completan a la derecha, desde N10. No basta copiar un anuncio; confirma duplicados aun cuando cambie la URL.</t>
        </r>
      </text>
    </comment>
    <comment ref="B12" authorId="0" shapeId="0" xr:uid="{00000000-0006-0000-0600-000003000000}">
      <text>
        <r>
          <rPr>
            <sz val="11"/>
            <color theme="1"/>
            <rFont val="Calibri"/>
          </rPr>
          <t>Captura ubicación breve y características que permitan identificar el inmueble. La evidencia y decisión de T2 se completan a la derecha, desde N29. No basta copiar un anuncio; confirma duplicados aun cuando cambie la URL.</t>
        </r>
      </text>
    </comment>
    <comment ref="B13" authorId="0" shapeId="0" xr:uid="{00000000-0006-0000-0600-000004000000}">
      <text>
        <r>
          <rPr>
            <sz val="11"/>
            <color theme="1"/>
            <rFont val="Calibri"/>
          </rPr>
          <t>Captura ubicación breve y características que permitan identificar el inmueble. La evidencia y decisión de T3 se completan a la derecha, desde N48. No basta copiar un anuncio; confirma duplicados aun cuando cambie la URL.</t>
        </r>
      </text>
    </comment>
    <comment ref="B14" authorId="0" shapeId="0" xr:uid="{00000000-0006-0000-0600-000005000000}">
      <text>
        <r>
          <rPr>
            <sz val="11"/>
            <color theme="1"/>
            <rFont val="Calibri"/>
          </rPr>
          <t>Captura ubicación breve y características que permitan identificar el inmueble. La evidencia y decisión de T4 se completan a la derecha, desde N67. No basta copiar un anuncio; confirma duplicados aun cuando cambie la URL.</t>
        </r>
      </text>
    </comment>
    <comment ref="B15" authorId="0" shapeId="0" xr:uid="{00000000-0006-0000-0600-000006000000}">
      <text>
        <r>
          <rPr>
            <sz val="11"/>
            <color theme="1"/>
            <rFont val="Calibri"/>
          </rPr>
          <t>Captura ubicación breve y características que permitan identificar el inmueble. La evidencia y decisión de T5 se completan a la derecha, desde N86. No basta copiar un anuncio; confirma duplicados aun cuando cambie la URL.</t>
        </r>
      </text>
    </comment>
    <comment ref="L16" authorId="0" shapeId="0" xr:uid="{00000000-0006-0000-0600-000007000000}">
      <text>
        <r>
          <rPr>
            <sz val="11"/>
            <color theme="1"/>
            <rFont val="Calibri"/>
          </rPr>
          <t>Media aritmética de los precios unitarios ajustados incluidos. Se requieren tres fuentes completas como control interno de esta plantilla; no es un mínimo legal ni prueba de representatividad. No cuenta filas pendientes/excluidas. Revisa dispersión y comparabilidad.</t>
        </r>
      </text>
    </comment>
    <comment ref="D20" authorId="0" shapeId="0" xr:uid="{00000000-0006-0000-0600-000008000000}">
      <text>
        <r>
          <rPr>
            <sz val="11"/>
            <color theme="1"/>
            <rFont val="Calibri"/>
          </rPr>
          <t>Captura 1 si no corresponde otro ajuste y explica en J20. Todo factor diferente de 1 debe justificarse sin repetir factores aplicados a comparables.</t>
        </r>
      </text>
    </comment>
    <comment ref="A24" authorId="0" shapeId="0" xr:uid="{00000000-0006-0000-0600-000009000000}">
      <text>
        <r>
          <rPr>
            <sz val="11"/>
            <color theme="1"/>
            <rFont val="Calibri"/>
          </rPr>
          <t>Redacta mercado competitivo, radio, periodo de búsqueda, tipo y derechos de los inmuebles, fuentes descartadas y calidad de evidencia. Explica dispersión y limitaciones. No concluyas por la sola media.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8" authorId="0" shapeId="0" xr:uid="{00000000-0006-0000-0700-000001000000}">
      <text>
        <r>
          <rPr>
            <sz val="11"/>
            <color theme="1"/>
            <rFont val="Calibri"/>
          </rPr>
          <t>Usa una misma clase de evidencia por enfoque. No mezcles ofertas con cierres/contratos como si fueran equivalentes. Si no existe evidencia suficiente, mantén el enfoque excluido.</t>
        </r>
      </text>
    </comment>
    <comment ref="B11" authorId="0" shapeId="0" xr:uid="{00000000-0006-0000-0700-000002000000}">
      <text>
        <r>
          <rPr>
            <sz val="11"/>
            <color theme="1"/>
            <rFont val="Calibri"/>
          </rPr>
          <t>Captura ubicación breve y características que permitan identificar el inmueble. La evidencia y decisión de C1 se completan a la derecha, desde N10. No basta copiar un anuncio; confirma duplicados aun cuando cambie la URL.</t>
        </r>
      </text>
    </comment>
    <comment ref="B12" authorId="0" shapeId="0" xr:uid="{00000000-0006-0000-0700-000003000000}">
      <text>
        <r>
          <rPr>
            <sz val="11"/>
            <color theme="1"/>
            <rFont val="Calibri"/>
          </rPr>
          <t>Captura ubicación breve y características que permitan identificar el inmueble. La evidencia y decisión de C2 se completan a la derecha, desde N29. No basta copiar un anuncio; confirma duplicados aun cuando cambie la URL.</t>
        </r>
      </text>
    </comment>
    <comment ref="B13" authorId="0" shapeId="0" xr:uid="{00000000-0006-0000-0700-000004000000}">
      <text>
        <r>
          <rPr>
            <sz val="11"/>
            <color theme="1"/>
            <rFont val="Calibri"/>
          </rPr>
          <t>Captura ubicación breve y características que permitan identificar el inmueble. La evidencia y decisión de C3 se completan a la derecha, desde N48. No basta copiar un anuncio; confirma duplicados aun cuando cambie la URL.</t>
        </r>
      </text>
    </comment>
    <comment ref="B14" authorId="0" shapeId="0" xr:uid="{00000000-0006-0000-0700-000005000000}">
      <text>
        <r>
          <rPr>
            <sz val="11"/>
            <color theme="1"/>
            <rFont val="Calibri"/>
          </rPr>
          <t>Captura ubicación breve y características que permitan identificar el inmueble. La evidencia y decisión de C4 se completan a la derecha, desde N67. No basta copiar un anuncio; confirma duplicados aun cuando cambie la URL.</t>
        </r>
      </text>
    </comment>
    <comment ref="B15" authorId="0" shapeId="0" xr:uid="{00000000-0006-0000-0700-000006000000}">
      <text>
        <r>
          <rPr>
            <sz val="11"/>
            <color theme="1"/>
            <rFont val="Calibri"/>
          </rPr>
          <t>Captura ubicación breve y características que permitan identificar el inmueble. La evidencia y decisión de C5 se completan a la derecha, desde N86. No basta copiar un anuncio; confirma duplicados aun cuando cambie la URL.</t>
        </r>
      </text>
    </comment>
    <comment ref="L16" authorId="0" shapeId="0" xr:uid="{00000000-0006-0000-0700-000007000000}">
      <text>
        <r>
          <rPr>
            <sz val="11"/>
            <color theme="1"/>
            <rFont val="Calibri"/>
          </rPr>
          <t>Media aritmética de los precios unitarios ajustados incluidos. Se requieren tres fuentes completas como control interno de esta plantilla; no es un mínimo legal ni prueba de representatividad. No cuenta filas pendientes/excluidas. Revisa dispersión y comparabilidad.</t>
        </r>
      </text>
    </comment>
    <comment ref="D20" authorId="0" shapeId="0" xr:uid="{00000000-0006-0000-0700-000008000000}">
      <text>
        <r>
          <rPr>
            <sz val="11"/>
            <color theme="1"/>
            <rFont val="Calibri"/>
          </rPr>
          <t>Captura 1 si no corresponde otro ajuste y explica en J20. Todo factor diferente de 1 debe justificarse sin repetir factores aplicados a comparables.</t>
        </r>
      </text>
    </comment>
    <comment ref="A24" authorId="0" shapeId="0" xr:uid="{00000000-0006-0000-0700-000009000000}">
      <text>
        <r>
          <rPr>
            <sz val="11"/>
            <color theme="1"/>
            <rFont val="Calibri"/>
          </rPr>
          <t>Redacta mercado competitivo, radio, periodo de búsqueda, tipo y derechos de los inmuebles, fuentes descartadas y calidad de evidencia. Explica dispersión y limitaciones. No concluyas por la sola media.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8" authorId="0" shapeId="0" xr:uid="{00000000-0006-0000-0800-000001000000}">
      <text>
        <r>
          <rPr>
            <sz val="11"/>
            <color theme="1"/>
            <rFont val="Calibri"/>
          </rPr>
          <t>Usa una misma clase de evidencia por enfoque. No mezcles ofertas con cierres/contratos como si fueran equivalentes. Si no existe evidencia suficiente, mantén el enfoque excluido.</t>
        </r>
      </text>
    </comment>
    <comment ref="B12" authorId="0" shapeId="0" xr:uid="{00000000-0006-0000-0800-000002000000}">
      <text>
        <r>
          <rPr>
            <sz val="11"/>
            <color theme="1"/>
            <rFont val="Calibri"/>
          </rPr>
          <t>Captura ubicación breve y características que permitan identificar el inmueble. La evidencia y decisión de R1 se completan a la derecha, desde N10. No basta copiar un anuncio; confirma duplicados aun cuando cambie la URL.</t>
        </r>
      </text>
    </comment>
    <comment ref="B13" authorId="0" shapeId="0" xr:uid="{00000000-0006-0000-0800-000003000000}">
      <text>
        <r>
          <rPr>
            <sz val="11"/>
            <color theme="1"/>
            <rFont val="Calibri"/>
          </rPr>
          <t>Captura ubicación breve y características que permitan identificar el inmueble. La evidencia y decisión de R2 se completan a la derecha, desde N29. No basta copiar un anuncio; confirma duplicados aun cuando cambie la URL.</t>
        </r>
      </text>
    </comment>
    <comment ref="B14" authorId="0" shapeId="0" xr:uid="{00000000-0006-0000-0800-000004000000}">
      <text>
        <r>
          <rPr>
            <sz val="11"/>
            <color theme="1"/>
            <rFont val="Calibri"/>
          </rPr>
          <t>Captura ubicación breve y características que permitan identificar el inmueble. La evidencia y decisión de R3 se completan a la derecha, desde N48. No basta copiar un anuncio; confirma duplicados aun cuando cambie la URL.</t>
        </r>
      </text>
    </comment>
    <comment ref="B15" authorId="0" shapeId="0" xr:uid="{00000000-0006-0000-0800-000005000000}">
      <text>
        <r>
          <rPr>
            <sz val="11"/>
            <color theme="1"/>
            <rFont val="Calibri"/>
          </rPr>
          <t>Captura ubicación breve y características que permitan identificar el inmueble. La evidencia y decisión de R4 se completan a la derecha, desde N67. No basta copiar un anuncio; confirma duplicados aun cuando cambie la URL.</t>
        </r>
      </text>
    </comment>
    <comment ref="B16" authorId="0" shapeId="0" xr:uid="{00000000-0006-0000-0800-000006000000}">
      <text>
        <r>
          <rPr>
            <sz val="11"/>
            <color theme="1"/>
            <rFont val="Calibri"/>
          </rPr>
          <t>Captura ubicación breve y características que permitan identificar el inmueble. La evidencia y decisión de R5 se completan a la derecha, desde N86. No basta copiar un anuncio; confirma duplicados aun cuando cambie la URL.</t>
        </r>
      </text>
    </comment>
    <comment ref="L17" authorId="0" shapeId="0" xr:uid="{00000000-0006-0000-0800-000007000000}">
      <text>
        <r>
          <rPr>
            <sz val="11"/>
            <color theme="1"/>
            <rFont val="Calibri"/>
          </rPr>
          <t>Media aritmética de los precios unitarios ajustados incluidos. Se requieren tres fuentes completas como control interno de esta plantilla; no es un mínimo legal ni prueba de representatividad. No cuenta filas pendientes/excluidas. Revisa dispersión y comparabilidad.</t>
        </r>
      </text>
    </comment>
    <comment ref="H32" authorId="0" shapeId="0" xr:uid="{00000000-0006-0000-0800-000009000000}">
      <text>
        <r>
          <rPr>
            <sz val="11"/>
            <color theme="1"/>
            <rFont val="Calibri"/>
          </rPr>
          <t>Tasa de capitalización neta anual sustentada. No usa tasa predeterminada. Si existen rentas escalonadas, periodos irregulares o unidades no homogéneas que no se puedan justificar aquí, desarrolla análisis específico y no fuerces esta capitalización directa.</t>
        </r>
      </text>
    </comment>
    <comment ref="A36" authorId="0" shapeId="0" xr:uid="{00000000-0006-0000-0800-000008000000}">
      <text>
        <r>
          <rPr>
            <sz val="11"/>
            <color theme="1"/>
            <rFont val="Calibri"/>
          </rPr>
          <t>Documenta para H24, H27 y H32: fuente, fecha, cálculo y pertinencia. H27 se aplica al ingreso efectivo; H32 capitaliza ingreso neto anual, no ingreso bruto. Incluye mantenimiento, administración, seguros, cargas del propietario y reserva aplicable, sin deuda, ISR ni depreciación contable. Verifica que tasa e ingreso tengan la misma base.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16" authorId="0" shapeId="0" xr:uid="{00000000-0006-0000-0900-000002000000}">
      <text>
        <r>
          <rPr>
            <sz val="11"/>
            <color theme="1"/>
            <rFont val="Calibri"/>
          </rPr>
          <t>Explica variante de Ross-Heidecke, ausencia o tratamiento de rescate, edad efectiva si aplica, obsolescencia y exclusiones. Si no refleja el inmueble, excluye el enfoque y encarga cálculo especializado. Vida útil no viene precargada.</t>
        </r>
      </text>
    </comment>
    <comment ref="N35" authorId="0" shapeId="0" xr:uid="{00000000-0006-0000-0900-000001000000}">
      <text>
        <r>
          <rPr>
            <sz val="11"/>
            <color theme="1"/>
            <rFont val="Calibri"/>
          </rPr>
          <t>Referencia histórica: INDAABIN, Procedimiento técnico PT-TC, DOF, tabla 5. https://dof.gob.mx/nota_detalle_popup.php?codigo=5077205 . Consultado 03/10/2026. Se adoptan sus 6 claves para evitar mezclar escalas. No se declara obligatoriedad o vigencia normativa para esta opinión comercial. El responsable confirma pertinencia en Q15.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9" authorId="0" shapeId="0" xr:uid="{00000000-0006-0000-0A00-000004000000}">
      <text>
        <r>
          <rPr>
            <sz val="11"/>
            <color theme="1"/>
            <rFont val="Calibri"/>
          </rPr>
          <t>Captura la precisión justificada: 1, 100, 1000 u otro múltiplo positivo. La conclusión se redondea al múltiplo elegido. No modifica el indicador sin redondear de I14.</t>
        </r>
      </text>
    </comment>
    <comment ref="D11" authorId="0" shapeId="0" xr:uid="{00000000-0006-0000-0A00-000001000000}">
      <text>
        <r>
          <rPr>
            <sz val="11"/>
            <color theme="1"/>
            <rFont val="Calibri"/>
          </rPr>
          <t>Define un peso entre 0% y 100% para cada enfoque. Usa 0% para los excluidos. Deben sumar 100%. Explica en A19 los pesos y la exclusión; no introduzcas ceros como valores de enfoques ausentes. Un solo enfoque exige explicar la limitación y no acredita cumplimiento de estándares.</t>
        </r>
      </text>
    </comment>
    <comment ref="Q12" authorId="0" shapeId="0" xr:uid="{00000000-0006-0000-0A00-000003000000}">
      <text>
        <r>
          <rPr>
            <sz val="11"/>
            <color theme="1"/>
            <rFont val="Calibri"/>
          </rPr>
          <t>Después de revisar, copia SOLO EL VALOR de I14 aquí, sin redondear; registra fecha, versión y selecciona Revisada. La comparación bloquea cambios numéricos posteriores. Los cambios de evidencia, texto o alcance también exigen nueva versión y revisión; Excel no verifica veracidad ni detecta todo cambio semántico.</t>
        </r>
      </text>
    </comment>
    <comment ref="A19" authorId="0" shapeId="0" xr:uid="{00000000-0006-0000-0A00-000002000000}">
      <text>
        <r>
          <rPr>
            <sz val="11"/>
            <color theme="1"/>
            <rFont val="Calibri"/>
          </rPr>
          <t>Redacta la conclusión: resultado y fecha, pertinencia de enfoques, justificación de cada peso, dispersión o rango razonable, calidad de fuentes, reservas y efecto de las condiciones jurídicas. No confundir valor con precio de publicación. No afirmar análisis no realizados. Hasta 1,100 caracteres; si necesitas más, amplía el área de impresión y verifica PDF.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8" authorId="0" shapeId="0" xr:uid="{00000000-0006-0000-0B00-000001000000}">
      <text>
        <r>
          <rPr>
            <sz val="11"/>
            <color theme="1"/>
            <rFont val="Calibri"/>
          </rPr>
          <t>Pie: vista, fecha y origen (capturada en visita / proporcionada por propietario). No presentar imágenes recibidas como evidencia de inspección propia.</t>
        </r>
      </text>
    </comment>
  </commentList>
</comments>
</file>

<file path=xl/sharedStrings.xml><?xml version="1.0" encoding="utf-8"?>
<sst xmlns="http://schemas.openxmlformats.org/spreadsheetml/2006/main" count="675" uniqueCount="374">
  <si>
    <t>OPINIÓN DE VALOR COMERCIAL</t>
  </si>
  <si>
    <t>FOTOGRAFÍA PRINCIPAL DEL INMUEBLE</t>
  </si>
  <si>
    <t>FOLIO</t>
  </si>
  <si>
    <t>FECHA DE VALUACIÓN</t>
  </si>
  <si>
    <t>SOLICITANTE</t>
  </si>
  <si>
    <t>PROPIETARIO DEL INMUEBLE</t>
  </si>
  <si>
    <t>INMUEBLE QUE SE VALÚA</t>
  </si>
  <si>
    <t>UBICACIÓN DEL INMUEBLE</t>
  </si>
  <si>
    <t>PROPÓSITO DE LA OPINIÓN DE VALOR</t>
  </si>
  <si>
    <t>VALOR COMERCIAL
CONCLUIDO</t>
  </si>
  <si>
    <t>Resumen ejecutivo</t>
  </si>
  <si>
    <t>Antecedentes</t>
  </si>
  <si>
    <t>Características urbanas de la zona</t>
  </si>
  <si>
    <t>Características del inmueble</t>
  </si>
  <si>
    <t>Enfoque de ingresos (capitalización de rentas)</t>
  </si>
  <si>
    <t>Enfoque físico (valor neto de reposición)</t>
  </si>
  <si>
    <t>Conciliación de valor y justificación</t>
  </si>
  <si>
    <t>Reporte fotográfico del inmueble</t>
  </si>
  <si>
    <t>1.   RESUMEN EJECUTIVO</t>
  </si>
  <si>
    <t>DATOS GENERALES</t>
  </si>
  <si>
    <t>Solicitante</t>
  </si>
  <si>
    <t>Tipo de inmueble</t>
  </si>
  <si>
    <t>Ubicación</t>
  </si>
  <si>
    <t>Régimen de propiedad</t>
  </si>
  <si>
    <t>Cuenta catastral</t>
  </si>
  <si>
    <t>Folio</t>
  </si>
  <si>
    <t>Superficie de terreno</t>
  </si>
  <si>
    <t>Sup. construida</t>
  </si>
  <si>
    <t>CARACTERÍSTICAS PRINCIPALES</t>
  </si>
  <si>
    <t>Niveles</t>
  </si>
  <si>
    <t>Edad (años)</t>
  </si>
  <si>
    <t>Recámaras</t>
  </si>
  <si>
    <t>Baños</t>
  </si>
  <si>
    <t>Estado de conservación</t>
  </si>
  <si>
    <t>Estacionamientos</t>
  </si>
  <si>
    <t>RESULTADOS POR ENFOQUE DE VALOR</t>
  </si>
  <si>
    <t>Enfoque</t>
  </si>
  <si>
    <t>Peso</t>
  </si>
  <si>
    <t>Valor indicado</t>
  </si>
  <si>
    <t>Comparativo de mercado</t>
  </si>
  <si>
    <t>Ingresos (capitalización)</t>
  </si>
  <si>
    <t>Físico (neto de reposición)</t>
  </si>
  <si>
    <t>VALOR COMERCIAL CONCLUIDO</t>
  </si>
  <si>
    <t>OBSERVACIONES Y CONCLUSIÓN</t>
  </si>
  <si>
    <t>2.   ANTECEDENTES</t>
  </si>
  <si>
    <t>DE LA SOLICITUD</t>
  </si>
  <si>
    <t>Relación del solicitante con el inmueble</t>
  </si>
  <si>
    <t>Propietario del inmueble</t>
  </si>
  <si>
    <t>Inmueble objeto de la opinión</t>
  </si>
  <si>
    <t>Uso o destino actual</t>
  </si>
  <si>
    <t>Ubicación del inmueble</t>
  </si>
  <si>
    <t>Fecha de solicitud</t>
  </si>
  <si>
    <t>DE LA OPINIÓN DE VALOR</t>
  </si>
  <si>
    <t>Objeto de la opinión de valor</t>
  </si>
  <si>
    <t>Estimar el valor comercial del inmueble.</t>
  </si>
  <si>
    <t>Propósito / uso previsto</t>
  </si>
  <si>
    <t>Enfoques aplicados</t>
  </si>
  <si>
    <t>Fecha de emisión</t>
  </si>
  <si>
    <t>Tipo de valor</t>
  </si>
  <si>
    <t>Valor comercial / de mercado</t>
  </si>
  <si>
    <t>Moneda</t>
  </si>
  <si>
    <t>Pesos mexicanos (MXN)</t>
  </si>
  <si>
    <t>Alcance y condiciones limitantes</t>
  </si>
  <si>
    <t>DE LA INMOBILIARIA (EMISOR)</t>
  </si>
  <si>
    <t>Empresa inmobiliaria</t>
  </si>
  <si>
    <t>Asesor que emite la opinión</t>
  </si>
  <si>
    <t>Contacto (correo / teléfono)</t>
  </si>
  <si>
    <t>DOCUMENTOS QUE SE TUVIERON A LA VISTA</t>
  </si>
  <si>
    <t>NOTA / ALCANCE DE LA OPINIÓN</t>
  </si>
  <si>
    <t>3.   CARACTERÍSTICAS URBANAS DE LA ZONA</t>
  </si>
  <si>
    <t>ENTORNO</t>
  </si>
  <si>
    <t>Clasificación de la zona</t>
  </si>
  <si>
    <t>Uso del suelo (zonificación)</t>
  </si>
  <si>
    <t>Índice de saturación de la zona</t>
  </si>
  <si>
    <t>Uso predominante (vivienda, mixto, etc.)</t>
  </si>
  <si>
    <t>SERVICIOS Y EQUIPAMIENTO URBANO</t>
  </si>
  <si>
    <t>Servicios públicos disponibles</t>
  </si>
  <si>
    <t>INFRAESTRUCTURA Y EQUIPAMIENTO CERCANO</t>
  </si>
  <si>
    <t>Escuelas / centros educativos</t>
  </si>
  <si>
    <t>Comercios y abasto</t>
  </si>
  <si>
    <t>Salud / hospitales</t>
  </si>
  <si>
    <t>Transporte público</t>
  </si>
  <si>
    <t>VÍAS DE ACCESO</t>
  </si>
  <si>
    <t>Vías primarias y secundarias</t>
  </si>
  <si>
    <t>UBICACIÓN GEOGRÁFICA</t>
  </si>
  <si>
    <t>Latitud</t>
  </si>
  <si>
    <t>Longitud</t>
  </si>
  <si>
    <t>Altitud (msnm)</t>
  </si>
  <si>
    <t>Orientación</t>
  </si>
  <si>
    <t>CROQUIS DE LOCALIZACIÓN / MAPA
(inserte la imagen de ubicación)</t>
  </si>
  <si>
    <t>4.   CARACTERÍSTICAS DEL INMUEBLE</t>
  </si>
  <si>
    <t>TERRENO</t>
  </si>
  <si>
    <t>Superficie del terreno</t>
  </si>
  <si>
    <t>Frente (m)</t>
  </si>
  <si>
    <t>Indiviso (%)</t>
  </si>
  <si>
    <t>Sup. lote tipo (m²)</t>
  </si>
  <si>
    <t>Forma / configuración</t>
  </si>
  <si>
    <t>Topografía</t>
  </si>
  <si>
    <t>Medidas y colindancias</t>
  </si>
  <si>
    <t>Servidumbres y restricciones</t>
  </si>
  <si>
    <t>CONSTRUCCIÓN</t>
  </si>
  <si>
    <t>Superficie construida</t>
  </si>
  <si>
    <t>Calidad del proyecto</t>
  </si>
  <si>
    <t>Descripción de la propiedad</t>
  </si>
  <si>
    <t>TIPOS DE CONSTRUCCIÓN</t>
  </si>
  <si>
    <t>Clave</t>
  </si>
  <si>
    <t>Tipo</t>
  </si>
  <si>
    <t>Uso</t>
  </si>
  <si>
    <t>Edad</t>
  </si>
  <si>
    <t>V. útil</t>
  </si>
  <si>
    <t>V. rest.</t>
  </si>
  <si>
    <t>Sup. m²</t>
  </si>
  <si>
    <t>ELEMENTOS DE LA CONSTRUCCIÓN (acabados e instalaciones)</t>
  </si>
  <si>
    <t>Cimentación</t>
  </si>
  <si>
    <t>Estructura</t>
  </si>
  <si>
    <t>Muros</t>
  </si>
  <si>
    <t>Entrepisos y losas</t>
  </si>
  <si>
    <t>Azoteas</t>
  </si>
  <si>
    <t>Aplanados y acabados</t>
  </si>
  <si>
    <t>Pisos</t>
  </si>
  <si>
    <t>Carpintería / herrería</t>
  </si>
  <si>
    <t>Instalación hidrosanitaria</t>
  </si>
  <si>
    <t>Instalación eléctrica</t>
  </si>
  <si>
    <t>Instalaciones especiales</t>
  </si>
  <si>
    <t>Comparables de lotes/terrenos en la zona, homologados a valor unitario por metro cuadrado.</t>
  </si>
  <si>
    <t>COMPARABLES DE MERCADO (ofertas / operaciones recientes)</t>
  </si>
  <si>
    <t>No.</t>
  </si>
  <si>
    <t>Ubicación / referencia</t>
  </si>
  <si>
    <t>$/m²</t>
  </si>
  <si>
    <t>Fzona</t>
  </si>
  <si>
    <t>Fubic.</t>
  </si>
  <si>
    <t>Fsup.</t>
  </si>
  <si>
    <t>Fneg.</t>
  </si>
  <si>
    <t>F. res.</t>
  </si>
  <si>
    <t>$/m² hom.</t>
  </si>
  <si>
    <t>Valor unitario homologado medio ($/m²)</t>
  </si>
  <si>
    <t>RESULTADO DEL ENFOQUE</t>
  </si>
  <si>
    <t>Valor unitario terreno ($/m²)</t>
  </si>
  <si>
    <t>VALOR DE MERCADO DEL TERRENO ($)</t>
  </si>
  <si>
    <t>CRITERIOS DE SELECCIÓN Y AJUSTE DE COMPARABLES</t>
  </si>
  <si>
    <t>Fconserv.</t>
  </si>
  <si>
    <t>VALOR POR ENFOQUE COMPARATIVO DE MERCADO ($)</t>
  </si>
  <si>
    <t>7.   ENFOQUE DE INGRESOS (CAPITALIZACIÓN DE RENTAS)</t>
  </si>
  <si>
    <t>Estima el valor a partir de la renta de mercado del inmueble, sus deducciones y la tasa de capitalización.</t>
  </si>
  <si>
    <t>$/m²/mes</t>
  </si>
  <si>
    <t>Renta unitaria homologada media ($/m²/mes)</t>
  </si>
  <si>
    <t>INGRESO BRUTO</t>
  </si>
  <si>
    <t>Renta mensual de mercado</t>
  </si>
  <si>
    <t>Renta bruta anual (× 12)</t>
  </si>
  <si>
    <t>DEDUCCIONES</t>
  </si>
  <si>
    <t>Vacancía y cobranza (%)</t>
  </si>
  <si>
    <t>Pérdida por vacancía</t>
  </si>
  <si>
    <t>Renta bruta efectiva</t>
  </si>
  <si>
    <t>Gastos de operación (%)</t>
  </si>
  <si>
    <t>Gastos de operación ($)</t>
  </si>
  <si>
    <t>CAPITALIZACIÓN</t>
  </si>
  <si>
    <t>Ingreso neto operativo (NOI)</t>
  </si>
  <si>
    <t>Tasa de capitalización (%)</t>
  </si>
  <si>
    <t>VALOR POR ENFOQUE DE INGRESOS ($)</t>
  </si>
  <si>
    <t>8.   ENFOQUE FÍSICO (VALOR NETO DE REPOSICIÓN)</t>
  </si>
  <si>
    <t>A)  VALOR DEL TERRENO</t>
  </si>
  <si>
    <t>Superficie (m²)</t>
  </si>
  <si>
    <t>Valor unitario ($/m²)</t>
  </si>
  <si>
    <t>SUBTOTAL (A)</t>
  </si>
  <si>
    <t>Tipo de construcción</t>
  </si>
  <si>
    <t>VRN $/m²</t>
  </si>
  <si>
    <t>Vida útil (años)</t>
  </si>
  <si>
    <t>Coef. Ross</t>
  </si>
  <si>
    <t>Coef. Heidecke</t>
  </si>
  <si>
    <t>Factor neto</t>
  </si>
  <si>
    <t>VNR neto $/m²</t>
  </si>
  <si>
    <t>Valor parcial $</t>
  </si>
  <si>
    <t>SUBTOTAL (B)</t>
  </si>
  <si>
    <t>C)  INSTALACIONES ESPECIALES, ELEMENTOS ACCESORIOS Y OBRAS COMPLEMENTARIAS</t>
  </si>
  <si>
    <t>Concepto</t>
  </si>
  <si>
    <t>Unidad</t>
  </si>
  <si>
    <t>Cant.</t>
  </si>
  <si>
    <t>VRN $</t>
  </si>
  <si>
    <t>F. cons.</t>
  </si>
  <si>
    <t>SUBTOTAL (C)</t>
  </si>
  <si>
    <t>VALOR FÍSICO  =  A + B + C  ($)</t>
  </si>
  <si>
    <t>Coef. Ross (edad) = ½ × [ (Edad ÷ Vida útil) + (Edad ÷ Vida útil)² ]</t>
  </si>
  <si>
    <t>Factor neto de depreciación = (1 − Coef. Ross) × (1 − Coef. Heidecke)</t>
  </si>
  <si>
    <t>Estado</t>
  </si>
  <si>
    <t>Coef.</t>
  </si>
  <si>
    <t>Descripción del estado de conservación</t>
  </si>
  <si>
    <t>9.   CONCILIACIÓN DE VALOR Y JUSTIFICACIÓN</t>
  </si>
  <si>
    <t>PONDERACIÓN DE ENFOQUES</t>
  </si>
  <si>
    <t>Enfoque de valor</t>
  </si>
  <si>
    <t>Valor ponderado</t>
  </si>
  <si>
    <t>Suma</t>
  </si>
  <si>
    <t>JUSTIFICACIÓN DE LA OPINIÓN DE VALOR</t>
  </si>
  <si>
    <t>SUPUESTOS, CONDICIONES LIMITANTES Y VIGENCIA</t>
  </si>
  <si>
    <t>VALIDACIÓN</t>
  </si>
  <si>
    <t>10.   REPORTE FOTOGRÁFICO DEL INMUEBLE</t>
  </si>
  <si>
    <t>FOTOGRAFÍA 1</t>
  </si>
  <si>
    <t>FOTOGRAFÍA 2</t>
  </si>
  <si>
    <t>Pie</t>
  </si>
  <si>
    <t>FOTOGRAFÍA 3</t>
  </si>
  <si>
    <t>FOTOGRAFÍA 4</t>
  </si>
  <si>
    <t>FOTOGRAFÍA 5</t>
  </si>
  <si>
    <t>FOTOGRAFÍA 6</t>
  </si>
  <si>
    <t>FOTOGRAFÍA 7</t>
  </si>
  <si>
    <t>FOTOGRAFÍA 8</t>
  </si>
  <si>
    <t>Opinión comercial orientativa. No es precio de venta garantizado. Todos los resultados se expresan en MXN.</t>
  </si>
  <si>
    <t>Usa el folio del expediente. Conserva este archivo sin datos de clientes.</t>
  </si>
  <si>
    <t>Captura campos del informe y panel desde columna N. Azul claro = entrada; fórmulas = resultados.</t>
  </si>
  <si>
    <t>Reutiliza 04, 05 y 06. Marca origen de cada dato. No repitas levantamientos ni supongas que una restricción está resuelta.</t>
  </si>
  <si>
    <t>En Mercado e Ingresos completa las fichas desde N10. Incluye solo fuentes elegidas y justificadas. Tres completas habilitan la media.</t>
  </si>
  <si>
    <t>En Conciliación asigna pesos, escribe conclusión, elige redondeo y registra revisión. El valor queda pendiente si faltan bases.</t>
  </si>
  <si>
    <t>El área de impresión A:L contiene el informe. La captura lateral no se imprime. Si un enfoque se excluye, explica la razón; al exportar puedes seleccionar solo las hojas aplicables. Revisa índice y PDF.</t>
  </si>
  <si>
    <t>Marca cancelación o cambio de operación en Antecedentes. Al cambiar datos incrementa versión, actualiza fuentes y repite revisión. La aprobación de la plantilla no aprueba una valoración real.</t>
  </si>
  <si>
    <t>Folio único</t>
  </si>
  <si>
    <t>Fecha de valor</t>
  </si>
  <si>
    <t>Operación</t>
  </si>
  <si>
    <t>Venta</t>
  </si>
  <si>
    <t>En estudio</t>
  </si>
  <si>
    <t>Base de mercado</t>
  </si>
  <si>
    <t>Versión del informe</t>
  </si>
  <si>
    <t>Moneda de resultados</t>
  </si>
  <si>
    <t>MXN</t>
  </si>
  <si>
    <t>MXN por 1 USD</t>
  </si>
  <si>
    <t>Fecha de conversión</t>
  </si>
  <si>
    <t>Fuente de conversión</t>
  </si>
  <si>
    <t>Inspección</t>
  </si>
  <si>
    <t>Referencia levantamiento 04</t>
  </si>
  <si>
    <t>Referencia revisión 05 / 06</t>
  </si>
  <si>
    <t>Superficies</t>
  </si>
  <si>
    <t>Pendiente</t>
  </si>
  <si>
    <t>Diferencias y efecto en valor</t>
  </si>
  <si>
    <t>Destinatario / derechos valorados</t>
  </si>
  <si>
    <t>Revisión jurídica</t>
  </si>
  <si>
    <t>Condiciones y efecto jurídico</t>
  </si>
  <si>
    <t>Estado de las bases</t>
  </si>
  <si>
    <t>Opinión comercial orientativa. No sustituye un avalúo requerido por una autoridad, institución financiera o contrato. La revisión de campos no certifica la veracidad de las fuentes.</t>
  </si>
  <si>
    <t>Dinámica de oferta y demanda</t>
  </si>
  <si>
    <t>Origen terreno</t>
  </si>
  <si>
    <t>Fuente del terreno</t>
  </si>
  <si>
    <t>Origen construcción</t>
  </si>
  <si>
    <t>Fuente construcción</t>
  </si>
  <si>
    <t>Área privativa (m²)</t>
  </si>
  <si>
    <t>Fuente área privativa</t>
  </si>
  <si>
    <t>Superficie base de mercado</t>
  </si>
  <si>
    <t>Documento y fecha de edad</t>
  </si>
  <si>
    <t>Áreas inaccesibles / límites</t>
  </si>
  <si>
    <t>Origen datos físicos</t>
  </si>
  <si>
    <t>Terreno atribuible revisado</t>
  </si>
  <si>
    <t>Estado de superficies</t>
  </si>
  <si>
    <t>Estado 1–6</t>
  </si>
  <si>
    <t>Tipo de precios a comparar</t>
  </si>
  <si>
    <t>Base m²</t>
  </si>
  <si>
    <t>Precio MXN</t>
  </si>
  <si>
    <t>Selección</t>
  </si>
  <si>
    <t>ID único del inmueble</t>
  </si>
  <si>
    <t>URL o referencia de evidencia</t>
  </si>
  <si>
    <t>Fecha de consulta</t>
  </si>
  <si>
    <t>Fecha del precio</t>
  </si>
  <si>
    <t>Tipo de precio</t>
  </si>
  <si>
    <t>Precio original sin IVA</t>
  </si>
  <si>
    <t>Fuente / base de superficie</t>
  </si>
  <si>
    <t>Factor adicional</t>
  </si>
  <si>
    <t>Justificación Fzona</t>
  </si>
  <si>
    <t>Justificación Fubic. / conservación</t>
  </si>
  <si>
    <t>Justificación Fsuperficie</t>
  </si>
  <si>
    <t>Justificación Fnegociación</t>
  </si>
  <si>
    <t>Razón de selección / exclusión</t>
  </si>
  <si>
    <t>Estado de esta fuente</t>
  </si>
  <si>
    <t>ID</t>
  </si>
  <si>
    <t>Referencia / URL</t>
  </si>
  <si>
    <t>Fecha precio</t>
  </si>
  <si>
    <t>T1</t>
  </si>
  <si>
    <t>T2</t>
  </si>
  <si>
    <t>T3</t>
  </si>
  <si>
    <t>T4</t>
  </si>
  <si>
    <t>T5</t>
  </si>
  <si>
    <t>Precio total del inmueble por m² de construcción o área privativa. El resultado ya incluye los derechos sobre el terreno.</t>
  </si>
  <si>
    <t>Base del sujeto m²</t>
  </si>
  <si>
    <t>Valor unitario MXN/m²</t>
  </si>
  <si>
    <t>C1</t>
  </si>
  <si>
    <t>C2</t>
  </si>
  <si>
    <t>C3</t>
  </si>
  <si>
    <t>C4</t>
  </si>
  <si>
    <t>C5</t>
  </si>
  <si>
    <t>Renta MXN/mes</t>
  </si>
  <si>
    <t>Renta mensual: superficie base del sujeto × renta unitaria media</t>
  </si>
  <si>
    <t>SUSTENTO DE VACANCÍA, GASTOS Y TASA NETA</t>
  </si>
  <si>
    <t>R1</t>
  </si>
  <si>
    <t>R2</t>
  </si>
  <si>
    <t>R3</t>
  </si>
  <si>
    <t>R4</t>
  </si>
  <si>
    <t>R5</t>
  </si>
  <si>
    <t>FUENTES DEL ENFOQUE FÍSICO</t>
  </si>
  <si>
    <t>Costo nuevo: fuente, fecha y ajuste</t>
  </si>
  <si>
    <t>Edad y vida útil: fuente</t>
  </si>
  <si>
    <t>Factor terreno: justificación</t>
  </si>
  <si>
    <t>Obras complementarias</t>
  </si>
  <si>
    <t>Fuentes de obras / exclusiones</t>
  </si>
  <si>
    <t>Integridad del inventario</t>
  </si>
  <si>
    <t>Método pertinente</t>
  </si>
  <si>
    <t>Supuestos de depreciación</t>
  </si>
  <si>
    <t>FUENTES Y SUPUESTOS ADOPTADOS</t>
  </si>
  <si>
    <t>Redondear a múltiplos de</t>
  </si>
  <si>
    <t>Revisión del responsable</t>
  </si>
  <si>
    <t>Fecha de revisión</t>
  </si>
  <si>
    <t>Indicador I14 revisado</t>
  </si>
  <si>
    <t>Versión revisada</t>
  </si>
  <si>
    <t>Estado de la conclusión</t>
  </si>
  <si>
    <t>1. La opinión distingue datos documentados, observados y declarados. Las fuentes y reservas se identifican en el informe.
2. Los precios corresponden a sus fechas registradas; oferta y cierre no son equivalentes. El mercado puede cambiar.
3. No se certifica cumplimiento normativo ni condición de sistemas ocultos; se declaran el alcance de inspección y los límites técnicos.
4. Las condiciones jurídicas y su efecto se describen en antecedentes; no se suponen resueltas.
5. La fecha de revisión se fija para el caso. Cambios del inmueble, operación o mercado requieren actualizar la opinión.
6. Es una referencia comercial, no garantía de venta ni sustituto de un avalúo exigido por autoridad, banco o contrato.</t>
  </si>
  <si>
    <t>Óptimo / nuevo (Heidecke 1)</t>
  </si>
  <si>
    <t>Bueno, reparaciones menores (Heidecke 2)</t>
  </si>
  <si>
    <t>Regular, reparaciones simples (Heidecke 3)</t>
  </si>
  <si>
    <t>Malo, reparaciones importantes (Heidecke 4)</t>
  </si>
  <si>
    <t>Muy malo, reparaciones mayores (Heidecke 4.5)</t>
  </si>
  <si>
    <t>Ruinoso, sin valor de construcción (Heidecke 5)</t>
  </si>
  <si>
    <t>ÍNDICE</t>
  </si>
  <si>
    <t>GUÍA DE CAPTURA</t>
  </si>
  <si>
    <t>Enfoque comparativo de mercado: terrenos</t>
  </si>
  <si>
    <t>Enfoque comparativo de mercado: inmuebles construidos</t>
  </si>
  <si>
    <t>Las secciones 5 a 8 se aplican según el tipo de inmueble y la evidencia disponible. Un enfoque con peso de 0 % no participa en la conciliación y su exclusión se justifica en la sección 9.</t>
  </si>
  <si>
    <t>DATOS DE CONTROL (captura)</t>
  </si>
  <si>
    <t>Vigencia (válida hasta)</t>
  </si>
  <si>
    <t>SUPERFICIES Y FUENTES (captura)</t>
  </si>
  <si>
    <t>5.   ENFOQUE COMPARATIVO DE MERCADO: TERRENOS</t>
  </si>
  <si>
    <t>6.   ENFOQUE COMPARATIVO DE MERCADO: INMUEBLES CONSTRUIDOS</t>
  </si>
  <si>
    <t>EVIDENCIA DE COMPARABLES (captura)</t>
  </si>
  <si>
    <t>Comparable T1 (fila 11 de la tabla)</t>
  </si>
  <si>
    <t>Comparable T2 (fila 12 de la tabla)</t>
  </si>
  <si>
    <t>Comparable T3 (fila 13 de la tabla)</t>
  </si>
  <si>
    <t>Comparable T4 (fila 14 de la tabla)</t>
  </si>
  <si>
    <t>Comparable T5 (fila 15 de la tabla)</t>
  </si>
  <si>
    <t>Comparable C1 (fila 11 de la tabla)</t>
  </si>
  <si>
    <t>Comparable C2 (fila 12 de la tabla)</t>
  </si>
  <si>
    <t>Comparable C3 (fila 13 de la tabla)</t>
  </si>
  <si>
    <t>Comparable C4 (fila 14 de la tabla)</t>
  </si>
  <si>
    <t>Comparable C5 (fila 15 de la tabla)</t>
  </si>
  <si>
    <t>Comparable R1 (fila 12 de la tabla)</t>
  </si>
  <si>
    <t>Comparable R2 (fila 13 de la tabla)</t>
  </si>
  <si>
    <t>Comparable R3 (fila 14 de la tabla)</t>
  </si>
  <si>
    <t>Comparable R4 (fila 15 de la tabla)</t>
  </si>
  <si>
    <t>Comparable R5 (fila 16 de la tabla)</t>
  </si>
  <si>
    <t>Un factor igual a 1 indica que no se aplicó ajuste. Todo factor distinto de 1 se justifica en la ficha del comparable y no debe duplicar el efecto de otro factor.</t>
  </si>
  <si>
    <t>FUENTES DE LOS COMPARABLES</t>
  </si>
  <si>
    <t>COMPARABLES DE RENTA ($/m² por mes)</t>
  </si>
  <si>
    <t>B)  CONSTRUCCIONES: VALOR NETO DE REPOSICIÓN</t>
  </si>
  <si>
    <t>DEPRECIACIÓN ROSS-HEIDECKE: PARÁMETROS</t>
  </si>
  <si>
    <t>VNR neto ($/m²) = VRN × Factor neto;  Valor parcial = Superficie × VNR neto</t>
  </si>
  <si>
    <t>Tabla de conservación (Heidecke)</t>
  </si>
  <si>
    <t>El costo nuevo, la edad, la vida útil y el estado de conservación se documentan por componente con su fuente. Esta variante no considera valor de rescate ni indirectos; los accesorios ya incluidos en el costo nuevo no se vuelven a contar.</t>
  </si>
  <si>
    <t>CIERRE DE LA OPINIÓN (captura)</t>
  </si>
  <si>
    <t>VALOR COMERCIAL CONCLUIDO (MXN)</t>
  </si>
  <si>
    <t>VIGENCIA DE LA OPINIÓN</t>
  </si>
  <si>
    <t>1. Guarda una copia por inmueble</t>
  </si>
  <si>
    <t>2. Completa Antecedentes</t>
  </si>
  <si>
    <t>3. Documenta inmueble y zona</t>
  </si>
  <si>
    <t>4. Elige fuentes y enfoques</t>
  </si>
  <si>
    <t>5. Revisa y concluye</t>
  </si>
  <si>
    <t>7. Prepara la entrega</t>
  </si>
  <si>
    <t>8. Cambios y cancelaciones</t>
  </si>
  <si>
    <t>Valor en letra (cálculo auxiliar, no editar)</t>
  </si>
  <si>
    <t>Parte entera</t>
  </si>
  <si>
    <t>Millones</t>
  </si>
  <si>
    <t>Miles</t>
  </si>
  <si>
    <t>Unidades</t>
  </si>
  <si>
    <t>Texto millones</t>
  </si>
  <si>
    <t>Texto miles</t>
  </si>
  <si>
    <t>Texto unidades</t>
  </si>
  <si>
    <t>Valor en letra</t>
  </si>
  <si>
    <t>Fortius Real Estate &amp; Investments</t>
  </si>
  <si>
    <t>Tel. +52 664 406 6999 | fortiusinmuebles.com</t>
  </si>
  <si>
    <t>Dispersión de la muestra homologada: desviación estándar ($/m²) y coeficiente de variación</t>
  </si>
  <si>
    <t>Motivo del factor (si es distinto de 1)</t>
  </si>
  <si>
    <t>Vigente hasta</t>
  </si>
  <si>
    <t>Factor aplicado (sección 5)</t>
  </si>
  <si>
    <t>Fotografías del inmueble y su entorno, con pie que identifica la vista y la fecha de la visita.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</si>
</sst>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$&quot;#,##0"/>
    <numFmt numFmtId="165" formatCode="#,##0.00&quot; m²&quot;"/>
    <numFmt numFmtId="166" formatCode="&quot;$&quot;#,##0.00"/>
    <numFmt numFmtId="167" formatCode="0.0"/>
    <numFmt numFmtId="168" formatCode="0.0%"/>
    <numFmt numFmtId="169" formatCode="0.0000"/>
    <numFmt numFmtId="170" formatCode="#,##0.00;[Red]\(#,##0.00\);&quot;0.00&quot;"/>
    <numFmt numFmtId="171" formatCode="#,##0;[Red]\(#,##0\);&quot;0&quot;"/>
    <numFmt numFmtId="172" formatCode="0.000"/>
  </numFmts>
  <fonts count="44" x14ac:knownFonts="1">
    <font>
      <sz val="11"/>
      <color theme="1"/>
      <name val="Calibri"/>
    </font>
    <font>
      <sz val="11"/>
      <color rgb="FF061F3F"/>
      <name val="Calibri"/>
    </font>
    <font>
      <i/>
      <sz val="9"/>
      <color rgb="FF061F3F"/>
      <name val="Calibri"/>
    </font>
    <font>
      <sz val="10"/>
      <color rgb="FF061F3F"/>
      <name val="Calibri"/>
    </font>
    <font>
      <b/>
      <sz val="15"/>
      <color rgb="FF061F3F"/>
      <name val="Calibri"/>
    </font>
    <font>
      <sz val="9"/>
      <color rgb="FF061F3F"/>
      <name val="Calibri"/>
    </font>
    <font>
      <u/>
      <sz val="11"/>
      <color theme="10"/>
      <name val="Calibri"/>
    </font>
    <font>
      <sz val="11"/>
      <color rgb="FF1B2A4A"/>
      <name val="Calibri"/>
      <family val="2"/>
    </font>
    <font>
      <b/>
      <sz val="10"/>
      <color rgb="FF1B2A4A"/>
      <name val="Arial"/>
      <family val="2"/>
    </font>
    <font>
      <b/>
      <sz val="27"/>
      <color rgb="FF1B2A4A"/>
      <name val="Arial"/>
      <family val="2"/>
    </font>
    <font>
      <sz val="11"/>
      <color rgb="FF1B2A4A"/>
      <name val="Arial"/>
      <family val="2"/>
    </font>
    <font>
      <sz val="13"/>
      <color rgb="FF1B2A4A"/>
      <name val="Arial"/>
      <family val="2"/>
    </font>
    <font>
      <b/>
      <sz val="9"/>
      <color rgb="FF1B2A4A"/>
      <name val="Arial"/>
      <family val="2"/>
    </font>
    <font>
      <sz val="10"/>
      <color rgb="FF1B2A4A"/>
      <name val="Arial"/>
      <family val="2"/>
    </font>
    <font>
      <b/>
      <sz val="12"/>
      <color rgb="FFFFFFFF"/>
      <name val="Arial"/>
      <family val="2"/>
    </font>
    <font>
      <b/>
      <sz val="12"/>
      <color rgb="FF1B2A4A"/>
      <name val="Arial"/>
      <family val="2"/>
    </font>
    <font>
      <b/>
      <sz val="24"/>
      <color rgb="FF1B2A4A"/>
      <name val="Arial"/>
      <family val="2"/>
    </font>
    <font>
      <i/>
      <sz val="8"/>
      <color rgb="FF1B2A4A"/>
      <name val="Arial"/>
      <family val="2"/>
    </font>
    <font>
      <b/>
      <sz val="15"/>
      <color rgb="FF1B2A4A"/>
      <name val="Arial"/>
      <family val="2"/>
    </font>
    <font>
      <i/>
      <sz val="9"/>
      <color rgb="FF6B7280"/>
      <name val="Arial"/>
      <family val="2"/>
    </font>
    <font>
      <sz val="11"/>
      <color theme="1"/>
      <name val="Arial"/>
      <family val="2"/>
    </font>
    <font>
      <sz val="9"/>
      <color rgb="FF1B2A4A"/>
      <name val="Arial"/>
      <family val="2"/>
    </font>
    <font>
      <b/>
      <sz val="11"/>
      <color rgb="FFFFFFFF"/>
      <name val="Arial"/>
      <family val="2"/>
    </font>
    <font>
      <b/>
      <sz val="11"/>
      <color rgb="FF1B2A4A"/>
      <name val="Arial"/>
      <family val="2"/>
    </font>
    <font>
      <i/>
      <sz val="9"/>
      <color rgb="FF1B2A4A"/>
      <name val="Calibri"/>
      <family val="2"/>
    </font>
    <font>
      <i/>
      <sz val="9"/>
      <color rgb="FF1B2A4A"/>
      <name val="Arial"/>
      <family val="2"/>
    </font>
    <font>
      <b/>
      <sz val="9"/>
      <color rgb="FFFFFFFF"/>
      <name val="Arial"/>
      <family val="2"/>
    </font>
    <font>
      <b/>
      <sz val="14"/>
      <color rgb="FF1B2A4A"/>
      <name val="Arial"/>
      <family val="2"/>
    </font>
    <font>
      <b/>
      <sz val="8"/>
      <color rgb="FFFFFFFF"/>
      <name val="Arial"/>
      <family val="2"/>
    </font>
    <font>
      <b/>
      <sz val="8"/>
      <color rgb="FF1B2A4A"/>
      <name val="Arial"/>
      <family val="2"/>
    </font>
    <font>
      <i/>
      <sz val="10"/>
      <color rgb="FF1B2A4A"/>
      <name val="Arial"/>
      <family val="2"/>
    </font>
    <font>
      <b/>
      <sz val="10"/>
      <color rgb="FFFFFFFF"/>
      <name val="Arial"/>
      <family val="2"/>
    </font>
    <font>
      <b/>
      <i/>
      <sz val="11"/>
      <color rgb="FF1B2A4A"/>
      <name val="Arial"/>
      <family val="2"/>
    </font>
    <font>
      <b/>
      <i/>
      <sz val="9"/>
      <color rgb="FF44586A"/>
      <name val="Arial"/>
      <family val="2"/>
    </font>
    <font>
      <sz val="9"/>
      <color rgb="FF22313D"/>
      <name val="Arial"/>
      <family val="2"/>
    </font>
    <font>
      <b/>
      <sz val="16"/>
      <color rgb="FF1B2A4A"/>
      <name val="Arial"/>
      <family val="2"/>
    </font>
    <font>
      <sz val="11"/>
      <color rgb="FFFFFFFF"/>
      <name val="Arial"/>
      <family val="2"/>
    </font>
    <font>
      <b/>
      <sz val="10"/>
      <color rgb="FFA4192E"/>
      <name val="Arial"/>
      <family val="2"/>
    </font>
    <font>
      <sz val="9"/>
      <color rgb="FF6B7280"/>
      <name val="Arial"/>
      <family val="2"/>
    </font>
    <font>
      <b/>
      <sz val="9"/>
      <color rgb="FF6B7280"/>
      <name val="Arial"/>
      <family val="2"/>
    </font>
    <font>
      <i/>
      <sz val="8"/>
      <color rgb="FF6B7280"/>
      <name val="Arial"/>
      <family val="2"/>
    </font>
    <font>
      <sz val="8"/>
      <color rgb="FF6B7280"/>
      <name val="Arial"/>
      <family val="2"/>
    </font>
    <font>
      <b/>
      <sz val="8"/>
      <color rgb="FF6B7280"/>
      <name val="Arial"/>
      <family val="2"/>
    </font>
    <font>
      <sz val="9"/>
      <color rgb="FFA4192E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EDF0F3"/>
      </patternFill>
    </fill>
    <fill>
      <patternFill patternType="solid">
        <fgColor rgb="FFF1F6FB"/>
      </patternFill>
    </fill>
    <fill>
      <patternFill patternType="solid">
        <fgColor rgb="FFFBF2DD"/>
      </patternFill>
    </fill>
    <fill>
      <patternFill patternType="solid">
        <fgColor rgb="FFE8EDF1"/>
      </patternFill>
    </fill>
    <fill>
      <patternFill patternType="solid">
        <fgColor rgb="FF44586A"/>
      </patternFill>
    </fill>
    <fill>
      <patternFill patternType="solid">
        <fgColor rgb="FFFFFFFF"/>
      </patternFill>
    </fill>
    <fill>
      <patternFill patternType="solid">
        <fgColor rgb="FFF7F9FB"/>
      </patternFill>
    </fill>
    <fill>
      <patternFill patternType="solid">
        <fgColor rgb="FF44586A"/>
      </patternFill>
    </fill>
    <fill>
      <patternFill patternType="solid">
        <fgColor rgb="FFF1F6FB"/>
      </patternFill>
    </fill>
    <fill>
      <patternFill patternType="solid">
        <fgColor rgb="FFFFFFFF"/>
      </patternFill>
    </fill>
    <fill>
      <patternFill patternType="solid">
        <fgColor rgb="FFF7F9FB"/>
      </patternFill>
    </fill>
    <fill>
      <patternFill patternType="solid">
        <fgColor rgb="FF1A3A5A"/>
      </patternFill>
    </fill>
    <fill>
      <patternFill patternType="solid">
        <fgColor rgb="FFFFFFFF"/>
      </patternFill>
    </fill>
    <fill>
      <patternFill patternType="solid">
        <fgColor rgb="FFEEF1F5"/>
        <bgColor indexed="64"/>
      </patternFill>
    </fill>
    <fill>
      <patternFill patternType="solid">
        <fgColor rgb="FFF4F6F9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FFFFF"/>
        <bgColor indexed="64"/>
      </patternFill>
    </fill>
  </fills>
  <borders count="48">
    <border>
      <left/>
      <right/>
      <top/>
      <bottom/>
      <diagonal/>
    </border>
    <border>
      <left style="dashed">
        <color rgb="FF8C9AA6"/>
      </left>
      <right style="dashed">
        <color rgb="FF8C9AA6"/>
      </right>
      <top style="dashed">
        <color rgb="FF8C9AA6"/>
      </top>
      <bottom style="dashed">
        <color rgb="FF8C9AA6"/>
      </bottom>
      <diagonal/>
    </border>
    <border>
      <left style="thin">
        <color rgb="FFCFD6DD"/>
      </left>
      <right style="thin">
        <color rgb="FFCFD6DD"/>
      </right>
      <top style="thin">
        <color rgb="FFCFD6DD"/>
      </top>
      <bottom style="thin">
        <color rgb="FFCFD6DD"/>
      </bottom>
      <diagonal/>
    </border>
    <border>
      <left style="medium">
        <color rgb="FF8C9AA6"/>
      </left>
      <right/>
      <top style="medium">
        <color rgb="FF8C9AA6"/>
      </top>
      <bottom style="medium">
        <color rgb="FF8C9AA6"/>
      </bottom>
      <diagonal/>
    </border>
    <border>
      <left/>
      <right style="medium">
        <color rgb="FF8C9AA6"/>
      </right>
      <top style="medium">
        <color rgb="FF8C9AA6"/>
      </top>
      <bottom style="medium">
        <color rgb="FF8C9AA6"/>
      </bottom>
      <diagonal/>
    </border>
    <border>
      <left/>
      <right/>
      <top/>
      <bottom style="hair">
        <color rgb="FFE3E8ED"/>
      </bottom>
      <diagonal/>
    </border>
    <border>
      <left style="thin">
        <color rgb="FFCFD6DD"/>
      </left>
      <right/>
      <top style="thin">
        <color rgb="FFCFD6DD"/>
      </top>
      <bottom style="thin">
        <color rgb="FFCFD6DD"/>
      </bottom>
      <diagonal/>
    </border>
    <border>
      <left/>
      <right/>
      <top style="thin">
        <color rgb="FFCFD6DD"/>
      </top>
      <bottom style="thin">
        <color rgb="FFCFD6DD"/>
      </bottom>
      <diagonal/>
    </border>
    <border>
      <left/>
      <right style="thin">
        <color rgb="FFCFD6DD"/>
      </right>
      <top style="thin">
        <color rgb="FFCFD6DD"/>
      </top>
      <bottom style="thin">
        <color rgb="FFCFD6DD"/>
      </bottom>
      <diagonal/>
    </border>
    <border>
      <left style="thin">
        <color rgb="FFCFD6DD"/>
      </left>
      <right style="thin">
        <color rgb="FFCFD6DD"/>
      </right>
      <top style="thin">
        <color rgb="FFCFD6DD"/>
      </top>
      <bottom/>
      <diagonal/>
    </border>
    <border>
      <left style="thin">
        <color rgb="FFCFD6DD"/>
      </left>
      <right/>
      <top/>
      <bottom/>
      <diagonal/>
    </border>
    <border>
      <left/>
      <right style="thin">
        <color rgb="FFCFD6DD"/>
      </right>
      <top/>
      <bottom/>
      <diagonal/>
    </border>
    <border>
      <left style="thin">
        <color rgb="FFCFD6DD"/>
      </left>
      <right/>
      <top/>
      <bottom style="thin">
        <color rgb="FFCFD6DD"/>
      </bottom>
      <diagonal/>
    </border>
    <border>
      <left/>
      <right/>
      <top/>
      <bottom style="thin">
        <color rgb="FFCFD6DD"/>
      </bottom>
      <diagonal/>
    </border>
    <border>
      <left/>
      <right style="thin">
        <color rgb="FFCFD6DD"/>
      </right>
      <top/>
      <bottom style="thin">
        <color rgb="FFCFD6DD"/>
      </bottom>
      <diagonal/>
    </border>
    <border>
      <left/>
      <right/>
      <top/>
      <bottom style="medium">
        <color rgb="FF8C9AA6"/>
      </bottom>
      <diagonal/>
    </border>
    <border>
      <left style="thin">
        <color rgb="FFCFD6DD"/>
      </left>
      <right/>
      <top style="thin">
        <color rgb="FFCFD6DD"/>
      </top>
      <bottom/>
      <diagonal/>
    </border>
    <border>
      <left/>
      <right/>
      <top style="thin">
        <color rgb="FFCFD6DD"/>
      </top>
      <bottom/>
      <diagonal/>
    </border>
    <border>
      <left/>
      <right style="thin">
        <color rgb="FFCFD6DD"/>
      </right>
      <top style="thin">
        <color rgb="FFCFD6DD"/>
      </top>
      <bottom/>
      <diagonal/>
    </border>
    <border>
      <left/>
      <right/>
      <top style="hair">
        <color rgb="FFE3E8ED"/>
      </top>
      <bottom style="hair">
        <color rgb="FFE3E8ED"/>
      </bottom>
      <diagonal/>
    </border>
    <border>
      <left style="medium">
        <color rgb="FF8C9AA6"/>
      </left>
      <right/>
      <top style="medium">
        <color rgb="FF8C9AA6"/>
      </top>
      <bottom/>
      <diagonal/>
    </border>
    <border>
      <left/>
      <right/>
      <top/>
      <bottom style="thin">
        <color rgb="FF1B2A4A"/>
      </bottom>
      <diagonal/>
    </border>
    <border>
      <left/>
      <right/>
      <top/>
      <bottom style="medium">
        <color rgb="FF1B2A4A"/>
      </bottom>
      <diagonal/>
    </border>
    <border>
      <left/>
      <right style="dashed">
        <color rgb="FF8C9AA6"/>
      </right>
      <top style="dashed">
        <color rgb="FF8C9AA6"/>
      </top>
      <bottom style="dashed">
        <color rgb="FF8C9AA6"/>
      </bottom>
      <diagonal/>
    </border>
    <border>
      <left style="dashed">
        <color rgb="FF8C9AA6"/>
      </left>
      <right style="dashed">
        <color rgb="FF8C9AA6"/>
      </right>
      <top/>
      <bottom style="dashed">
        <color rgb="FF8C9AA6"/>
      </bottom>
      <diagonal/>
    </border>
    <border>
      <left style="dashed">
        <color rgb="FF8C9AA6"/>
      </left>
      <right style="dashed">
        <color rgb="FF8C9AA6"/>
      </right>
      <top style="dashed">
        <color rgb="FF8C9AA6"/>
      </top>
      <bottom style="thin">
        <color rgb="FF8C9AA6"/>
      </bottom>
      <diagonal/>
    </border>
    <border>
      <left/>
      <right/>
      <top/>
      <bottom style="thin">
        <color rgb="FFC9CED6"/>
      </bottom>
      <diagonal/>
    </border>
    <border>
      <left style="thin">
        <color rgb="FFCFD6DD"/>
      </left>
      <right/>
      <top style="thin">
        <color rgb="FFCFD6DD"/>
      </top>
      <bottom style="thin">
        <color rgb="FFC9CED6"/>
      </bottom>
      <diagonal/>
    </border>
    <border>
      <left style="thin">
        <color rgb="FFCFD6DD"/>
      </left>
      <right style="thin">
        <color rgb="FFCFD6DD"/>
      </right>
      <top style="thin">
        <color rgb="FFCFD6DD"/>
      </top>
      <bottom style="thin">
        <color rgb="FFC9CED6"/>
      </bottom>
      <diagonal/>
    </border>
    <border>
      <left style="thin">
        <color rgb="FFCFD6DD"/>
      </left>
      <right style="thin">
        <color rgb="FFCFD6DD"/>
      </right>
      <top/>
      <bottom style="thin">
        <color rgb="FFCFD6DD"/>
      </bottom>
      <diagonal/>
    </border>
    <border>
      <left style="thin">
        <color rgb="FFCFD6DD"/>
      </left>
      <right style="thin">
        <color rgb="FFCFD6DD"/>
      </right>
      <top/>
      <bottom/>
      <diagonal/>
    </border>
    <border>
      <left/>
      <right style="thin">
        <color rgb="FFCFD6DD"/>
      </right>
      <top style="thin">
        <color rgb="FFCFD6DD"/>
      </top>
      <bottom style="thin">
        <color rgb="FFC9CED6"/>
      </bottom>
      <diagonal/>
    </border>
    <border>
      <left style="thin">
        <color rgb="FFCFD6DD"/>
      </left>
      <right style="thin">
        <color rgb="FFCFD6DD"/>
      </right>
      <top style="thin">
        <color rgb="FFC9CED6"/>
      </top>
      <bottom style="thin">
        <color rgb="FFC9CED6"/>
      </bottom>
      <diagonal/>
    </border>
    <border>
      <left style="thin">
        <color rgb="FFCFD6DD"/>
      </left>
      <right style="thin">
        <color rgb="FFCFD6DD"/>
      </right>
      <top style="thin">
        <color rgb="FFC9CED6"/>
      </top>
      <bottom/>
      <diagonal/>
    </border>
    <border>
      <left/>
      <right style="medium">
        <color rgb="FF8C9AA6"/>
      </right>
      <top style="medium">
        <color rgb="FF8C9AA6"/>
      </top>
      <bottom style="thin">
        <color rgb="FFC9CED6"/>
      </bottom>
      <diagonal/>
    </border>
    <border>
      <left/>
      <right/>
      <top style="medium">
        <color rgb="FF8C9AA6"/>
      </top>
      <bottom style="thin">
        <color rgb="FFC9CED6"/>
      </bottom>
      <diagonal/>
    </border>
    <border>
      <left/>
      <right/>
      <top style="thin">
        <color rgb="FFCFD6DD"/>
      </top>
      <bottom style="thin">
        <color rgb="FFC9CED6"/>
      </bottom>
      <diagonal/>
    </border>
    <border>
      <left style="dashed">
        <color rgb="FF8C9AA6"/>
      </left>
      <right/>
      <top style="dashed">
        <color rgb="FF8C9AA6"/>
      </top>
      <bottom style="dashed">
        <color rgb="FF8C9AA6"/>
      </bottom>
      <diagonal/>
    </border>
    <border>
      <left/>
      <right/>
      <top/>
      <bottom style="medium">
        <color rgb="FFA4192E"/>
      </bottom>
      <diagonal/>
    </border>
    <border>
      <left/>
      <right/>
      <top style="medium">
        <color rgb="FF8C9AA6"/>
      </top>
      <bottom style="thin">
        <color rgb="FFCFD6DD"/>
      </bottom>
      <diagonal/>
    </border>
    <border>
      <left/>
      <right/>
      <top style="medium">
        <color rgb="FF1B2A4A"/>
      </top>
      <bottom/>
      <diagonal/>
    </border>
    <border>
      <left style="medium">
        <color rgb="FF1B2A4A"/>
      </left>
      <right/>
      <top style="medium">
        <color rgb="FF1B2A4A"/>
      </top>
      <bottom/>
      <diagonal/>
    </border>
    <border>
      <left style="medium">
        <color rgb="FF1B2A4A"/>
      </left>
      <right/>
      <top/>
      <bottom style="thin">
        <color rgb="FF1B2A4A"/>
      </bottom>
      <diagonal/>
    </border>
    <border>
      <left/>
      <right style="medium">
        <color rgb="FF1B2A4A"/>
      </right>
      <top style="medium">
        <color rgb="FF1B2A4A"/>
      </top>
      <bottom/>
      <diagonal/>
    </border>
    <border>
      <left/>
      <right style="medium">
        <color rgb="FF1B2A4A"/>
      </right>
      <top/>
      <bottom style="thin">
        <color rgb="FF1B2A4A"/>
      </bottom>
      <diagonal/>
    </border>
    <border>
      <left style="medium">
        <color rgb="FF8C9AA6"/>
      </left>
      <right/>
      <top style="thin">
        <color rgb="FF1B2A4A"/>
      </top>
      <bottom style="medium">
        <color rgb="FF8C9AA6"/>
      </bottom>
      <diagonal/>
    </border>
    <border>
      <left/>
      <right/>
      <top style="thin">
        <color rgb="FF1B2A4A"/>
      </top>
      <bottom style="medium">
        <color rgb="FF8C9AA6"/>
      </bottom>
      <diagonal/>
    </border>
    <border>
      <left/>
      <right style="medium">
        <color rgb="FF8C9AA6"/>
      </right>
      <top style="thin">
        <color rgb="FF1B2A4A"/>
      </top>
      <bottom style="medium">
        <color rgb="FF8C9AA6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7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 wrapText="1"/>
    </xf>
    <xf numFmtId="0" fontId="5" fillId="0" borderId="0" xfId="0" applyFont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horizontal="right" vertical="center" wrapText="1"/>
    </xf>
    <xf numFmtId="0" fontId="7" fillId="0" borderId="0" xfId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/>
    <xf numFmtId="0" fontId="11" fillId="0" borderId="0" xfId="0" applyFont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/>
    </xf>
    <xf numFmtId="0" fontId="13" fillId="16" borderId="2" xfId="0" applyFont="1" applyFill="1" applyBorder="1" applyAlignment="1">
      <alignment horizontal="left" vertical="center" wrapText="1"/>
    </xf>
    <xf numFmtId="0" fontId="13" fillId="3" borderId="2" xfId="0" applyFont="1" applyFill="1" applyBorder="1" applyAlignment="1">
      <alignment horizontal="left" vertical="center" wrapText="1"/>
    </xf>
    <xf numFmtId="14" fontId="13" fillId="16" borderId="2" xfId="0" applyNumberFormat="1" applyFont="1" applyFill="1" applyBorder="1" applyAlignment="1">
      <alignment horizontal="left" vertical="center" wrapText="1"/>
    </xf>
    <xf numFmtId="14" fontId="13" fillId="3" borderId="2" xfId="0" applyNumberFormat="1" applyFont="1" applyFill="1" applyBorder="1" applyAlignment="1">
      <alignment horizontal="left" vertical="center" wrapText="1"/>
    </xf>
    <xf numFmtId="0" fontId="17" fillId="0" borderId="0" xfId="0" applyFont="1" applyAlignment="1">
      <alignment horizontal="center" vertical="center"/>
    </xf>
    <xf numFmtId="0" fontId="13" fillId="15" borderId="0" xfId="0" applyFont="1" applyFill="1" applyAlignment="1">
      <alignment vertic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 wrapText="1"/>
    </xf>
    <xf numFmtId="0" fontId="20" fillId="0" borderId="0" xfId="0" applyFont="1"/>
    <xf numFmtId="0" fontId="10" fillId="0" borderId="0" xfId="0" applyFont="1" applyAlignment="1">
      <alignment vertical="center"/>
    </xf>
    <xf numFmtId="0" fontId="21" fillId="0" borderId="0" xfId="0" applyFont="1" applyAlignment="1">
      <alignment horizontal="left" vertical="center"/>
    </xf>
    <xf numFmtId="0" fontId="10" fillId="0" borderId="22" xfId="0" applyFont="1" applyFill="1" applyBorder="1"/>
    <xf numFmtId="0" fontId="13" fillId="17" borderId="0" xfId="0" applyFont="1" applyFill="1" applyAlignment="1">
      <alignment horizontal="left" vertical="center"/>
    </xf>
    <xf numFmtId="0" fontId="22" fillId="17" borderId="0" xfId="0" applyFont="1" applyFill="1" applyAlignment="1">
      <alignment horizontal="left" vertical="center"/>
    </xf>
    <xf numFmtId="0" fontId="22" fillId="17" borderId="0" xfId="0" applyFont="1" applyFill="1" applyAlignment="1">
      <alignment vertical="center" wrapText="1"/>
    </xf>
    <xf numFmtId="0" fontId="23" fillId="0" borderId="5" xfId="0" applyFont="1" applyBorder="1" applyAlignment="1">
      <alignment horizontal="center" vertical="center"/>
    </xf>
    <xf numFmtId="0" fontId="10" fillId="0" borderId="5" xfId="1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19" xfId="1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/>
    </xf>
    <xf numFmtId="0" fontId="13" fillId="0" borderId="0" xfId="0" applyFont="1" applyAlignment="1">
      <alignment vertical="center" wrapText="1"/>
    </xf>
    <xf numFmtId="0" fontId="10" fillId="15" borderId="0" xfId="0" applyFont="1" applyFill="1" applyAlignment="1">
      <alignment vertical="center" wrapText="1"/>
    </xf>
    <xf numFmtId="0" fontId="10" fillId="0" borderId="0" xfId="1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25" fillId="0" borderId="0" xfId="0" applyFont="1" applyAlignment="1">
      <alignment horizontal="right" vertical="center" wrapText="1"/>
    </xf>
    <xf numFmtId="0" fontId="12" fillId="5" borderId="7" xfId="0" applyFont="1" applyFill="1" applyBorder="1" applyAlignment="1">
      <alignment horizontal="left" vertical="center"/>
    </xf>
    <xf numFmtId="0" fontId="12" fillId="5" borderId="8" xfId="0" applyFont="1" applyFill="1" applyBorder="1" applyAlignment="1">
      <alignment horizontal="left" vertical="center"/>
    </xf>
    <xf numFmtId="0" fontId="12" fillId="0" borderId="7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left" vertical="center" wrapText="1"/>
    </xf>
    <xf numFmtId="0" fontId="13" fillId="16" borderId="6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left" vertical="center" wrapText="1"/>
    </xf>
    <xf numFmtId="0" fontId="13" fillId="3" borderId="8" xfId="0" applyFont="1" applyFill="1" applyBorder="1" applyAlignment="1">
      <alignment horizontal="left" vertical="center" wrapText="1"/>
    </xf>
    <xf numFmtId="165" fontId="13" fillId="16" borderId="2" xfId="0" applyNumberFormat="1" applyFont="1" applyFill="1" applyBorder="1" applyAlignment="1">
      <alignment horizontal="left" vertical="center" wrapText="1"/>
    </xf>
    <xf numFmtId="165" fontId="13" fillId="3" borderId="2" xfId="0" applyNumberFormat="1" applyFont="1" applyFill="1" applyBorder="1" applyAlignment="1">
      <alignment horizontal="left" vertical="center" wrapText="1"/>
    </xf>
    <xf numFmtId="0" fontId="12" fillId="5" borderId="2" xfId="0" applyFont="1" applyFill="1" applyBorder="1" applyAlignment="1">
      <alignment horizontal="left" vertical="center"/>
    </xf>
    <xf numFmtId="0" fontId="26" fillId="17" borderId="0" xfId="0" applyFont="1" applyFill="1" applyAlignment="1">
      <alignment horizontal="left" vertical="center"/>
    </xf>
    <xf numFmtId="0" fontId="12" fillId="6" borderId="0" xfId="0" applyFont="1" applyFill="1" applyAlignment="1">
      <alignment horizontal="left" vertical="center"/>
    </xf>
    <xf numFmtId="0" fontId="26" fillId="17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3" fillId="7" borderId="6" xfId="0" applyFont="1" applyFill="1" applyBorder="1" applyAlignment="1">
      <alignment horizontal="left" vertical="center"/>
    </xf>
    <xf numFmtId="10" fontId="13" fillId="7" borderId="7" xfId="0" applyNumberFormat="1" applyFont="1" applyFill="1" applyBorder="1" applyAlignment="1">
      <alignment horizontal="center" vertical="center"/>
    </xf>
    <xf numFmtId="164" fontId="13" fillId="7" borderId="8" xfId="0" applyNumberFormat="1" applyFont="1" applyFill="1" applyBorder="1" applyAlignment="1">
      <alignment horizontal="right" vertical="center"/>
    </xf>
    <xf numFmtId="0" fontId="13" fillId="18" borderId="6" xfId="0" applyFont="1" applyFill="1" applyBorder="1" applyAlignment="1">
      <alignment horizontal="left" vertical="center"/>
    </xf>
    <xf numFmtId="0" fontId="13" fillId="8" borderId="6" xfId="0" applyFont="1" applyFill="1" applyBorder="1" applyAlignment="1">
      <alignment horizontal="left" vertical="center"/>
    </xf>
    <xf numFmtId="10" fontId="13" fillId="18" borderId="7" xfId="0" applyNumberFormat="1" applyFont="1" applyFill="1" applyBorder="1" applyAlignment="1">
      <alignment horizontal="center" vertical="center"/>
    </xf>
    <xf numFmtId="10" fontId="13" fillId="8" borderId="7" xfId="0" applyNumberFormat="1" applyFont="1" applyFill="1" applyBorder="1" applyAlignment="1">
      <alignment horizontal="center" vertical="center"/>
    </xf>
    <xf numFmtId="164" fontId="13" fillId="18" borderId="8" xfId="0" applyNumberFormat="1" applyFont="1" applyFill="1" applyBorder="1" applyAlignment="1">
      <alignment horizontal="right" vertical="center"/>
    </xf>
    <xf numFmtId="164" fontId="13" fillId="8" borderId="8" xfId="0" applyNumberFormat="1" applyFont="1" applyFill="1" applyBorder="1" applyAlignment="1">
      <alignment horizontal="right" vertical="center"/>
    </xf>
    <xf numFmtId="0" fontId="22" fillId="17" borderId="3" xfId="0" applyFont="1" applyFill="1" applyBorder="1" applyAlignment="1">
      <alignment horizontal="left" vertical="center"/>
    </xf>
    <xf numFmtId="0" fontId="23" fillId="13" borderId="3" xfId="0" applyFont="1" applyFill="1" applyBorder="1" applyAlignment="1">
      <alignment horizontal="left" vertical="center"/>
    </xf>
    <xf numFmtId="164" fontId="27" fillId="15" borderId="4" xfId="0" applyNumberFormat="1" applyFont="1" applyFill="1" applyBorder="1" applyAlignment="1">
      <alignment horizontal="right" vertical="center"/>
    </xf>
    <xf numFmtId="164" fontId="27" fillId="4" borderId="4" xfId="0" applyNumberFormat="1" applyFont="1" applyFill="1" applyBorder="1" applyAlignment="1">
      <alignment horizontal="right" vertical="center"/>
    </xf>
    <xf numFmtId="0" fontId="10" fillId="3" borderId="2" xfId="0" applyFont="1" applyFill="1" applyBorder="1" applyAlignment="1">
      <alignment horizontal="left" vertical="top" wrapText="1"/>
    </xf>
    <xf numFmtId="0" fontId="10" fillId="0" borderId="0" xfId="1" applyFont="1" applyAlignment="1">
      <alignment vertical="center"/>
    </xf>
    <xf numFmtId="0" fontId="12" fillId="5" borderId="17" xfId="0" applyFont="1" applyFill="1" applyBorder="1" applyAlignment="1">
      <alignment horizontal="left" vertical="center"/>
    </xf>
    <xf numFmtId="0" fontId="12" fillId="5" borderId="18" xfId="0" applyFont="1" applyFill="1" applyBorder="1" applyAlignment="1">
      <alignment horizontal="left" vertical="center"/>
    </xf>
    <xf numFmtId="0" fontId="13" fillId="16" borderId="0" xfId="0" applyFont="1" applyFill="1" applyAlignment="1">
      <alignment vertical="center" wrapText="1"/>
    </xf>
    <xf numFmtId="0" fontId="12" fillId="0" borderId="16" xfId="0" applyFont="1" applyBorder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13" fillId="16" borderId="17" xfId="0" applyFont="1" applyFill="1" applyBorder="1" applyAlignment="1">
      <alignment horizontal="left" vertical="center"/>
    </xf>
    <xf numFmtId="0" fontId="13" fillId="16" borderId="18" xfId="0" applyFont="1" applyFill="1" applyBorder="1" applyAlignment="1">
      <alignment horizontal="left" vertical="center"/>
    </xf>
    <xf numFmtId="14" fontId="13" fillId="16" borderId="0" xfId="0" applyNumberFormat="1" applyFont="1" applyFill="1" applyAlignment="1">
      <alignment vertical="center" wrapText="1"/>
    </xf>
    <xf numFmtId="1" fontId="13" fillId="16" borderId="0" xfId="0" applyNumberFormat="1" applyFont="1" applyFill="1" applyAlignment="1">
      <alignment vertical="center" wrapText="1"/>
    </xf>
    <xf numFmtId="169" fontId="13" fillId="16" borderId="0" xfId="0" applyNumberFormat="1" applyFont="1" applyFill="1" applyAlignment="1">
      <alignment vertical="center" wrapText="1"/>
    </xf>
    <xf numFmtId="0" fontId="12" fillId="0" borderId="6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14" fontId="13" fillId="16" borderId="7" xfId="0" applyNumberFormat="1" applyFont="1" applyFill="1" applyBorder="1" applyAlignment="1">
      <alignment horizontal="left" vertical="center"/>
    </xf>
    <xf numFmtId="14" fontId="13" fillId="16" borderId="8" xfId="0" applyNumberFormat="1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0" fontId="13" fillId="3" borderId="18" xfId="0" applyFont="1" applyFill="1" applyBorder="1" applyAlignment="1">
      <alignment horizontal="left" vertical="center"/>
    </xf>
    <xf numFmtId="14" fontId="13" fillId="16" borderId="17" xfId="0" applyNumberFormat="1" applyFont="1" applyFill="1" applyBorder="1" applyAlignment="1">
      <alignment horizontal="left" vertical="center"/>
    </xf>
    <xf numFmtId="14" fontId="13" fillId="16" borderId="18" xfId="0" applyNumberFormat="1" applyFont="1" applyFill="1" applyBorder="1" applyAlignment="1">
      <alignment horizontal="left" vertical="center"/>
    </xf>
    <xf numFmtId="0" fontId="13" fillId="16" borderId="7" xfId="0" applyFont="1" applyFill="1" applyBorder="1" applyAlignment="1">
      <alignment horizontal="left" vertical="center"/>
    </xf>
    <xf numFmtId="0" fontId="13" fillId="16" borderId="8" xfId="0" applyFont="1" applyFill="1" applyBorder="1" applyAlignment="1">
      <alignment horizontal="left" vertical="center"/>
    </xf>
    <xf numFmtId="0" fontId="10" fillId="16" borderId="16" xfId="0" applyFont="1" applyFill="1" applyBorder="1"/>
    <xf numFmtId="0" fontId="10" fillId="16" borderId="17" xfId="0" applyFont="1" applyFill="1" applyBorder="1"/>
    <xf numFmtId="0" fontId="10" fillId="16" borderId="18" xfId="0" applyFont="1" applyFill="1" applyBorder="1"/>
    <xf numFmtId="0" fontId="21" fillId="4" borderId="17" xfId="0" applyFont="1" applyFill="1" applyBorder="1" applyAlignment="1">
      <alignment horizontal="left" vertical="top" wrapText="1"/>
    </xf>
    <xf numFmtId="0" fontId="21" fillId="4" borderId="18" xfId="0" applyFont="1" applyFill="1" applyBorder="1" applyAlignment="1">
      <alignment horizontal="left" vertical="top" wrapText="1"/>
    </xf>
    <xf numFmtId="0" fontId="21" fillId="4" borderId="10" xfId="0" applyFont="1" applyFill="1" applyBorder="1" applyAlignment="1">
      <alignment horizontal="left" vertical="top" wrapText="1"/>
    </xf>
    <xf numFmtId="0" fontId="21" fillId="4" borderId="0" xfId="0" applyFont="1" applyFill="1" applyAlignment="1">
      <alignment horizontal="left" vertical="top" wrapText="1"/>
    </xf>
    <xf numFmtId="0" fontId="21" fillId="4" borderId="11" xfId="0" applyFont="1" applyFill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21" fillId="16" borderId="2" xfId="0" applyFont="1" applyFill="1" applyBorder="1" applyAlignment="1">
      <alignment horizontal="left" vertical="top" wrapText="1"/>
    </xf>
    <xf numFmtId="0" fontId="21" fillId="3" borderId="2" xfId="0" applyFont="1" applyFill="1" applyBorder="1" applyAlignment="1">
      <alignment horizontal="left" vertical="top" wrapText="1"/>
    </xf>
    <xf numFmtId="0" fontId="10" fillId="0" borderId="10" xfId="0" applyFont="1" applyBorder="1"/>
    <xf numFmtId="0" fontId="10" fillId="0" borderId="11" xfId="0" applyFont="1" applyBorder="1"/>
    <xf numFmtId="0" fontId="10" fillId="0" borderId="12" xfId="0" applyFont="1" applyBorder="1"/>
    <xf numFmtId="0" fontId="10" fillId="0" borderId="13" xfId="0" applyFont="1" applyBorder="1"/>
    <xf numFmtId="0" fontId="10" fillId="0" borderId="14" xfId="0" applyFont="1" applyBorder="1"/>
    <xf numFmtId="170" fontId="13" fillId="16" borderId="2" xfId="0" applyNumberFormat="1" applyFont="1" applyFill="1" applyBorder="1" applyAlignment="1">
      <alignment horizontal="left" vertical="center" wrapText="1"/>
    </xf>
    <xf numFmtId="10" fontId="13" fillId="16" borderId="2" xfId="0" applyNumberFormat="1" applyFont="1" applyFill="1" applyBorder="1" applyAlignment="1">
      <alignment horizontal="left" vertical="center" wrapText="1"/>
    </xf>
    <xf numFmtId="10" fontId="13" fillId="3" borderId="2" xfId="0" applyNumberFormat="1" applyFont="1" applyFill="1" applyBorder="1" applyAlignment="1">
      <alignment horizontal="left" vertical="center" wrapText="1"/>
    </xf>
    <xf numFmtId="170" fontId="13" fillId="16" borderId="0" xfId="0" applyNumberFormat="1" applyFont="1" applyFill="1" applyAlignment="1">
      <alignment vertical="center" wrapText="1"/>
    </xf>
    <xf numFmtId="0" fontId="28" fillId="17" borderId="2" xfId="0" applyFont="1" applyFill="1" applyBorder="1" applyAlignment="1">
      <alignment horizontal="center" vertical="center" wrapText="1"/>
    </xf>
    <xf numFmtId="0" fontId="29" fillId="6" borderId="2" xfId="0" applyFont="1" applyFill="1" applyBorder="1" applyAlignment="1">
      <alignment horizontal="center" vertical="center" wrapText="1"/>
    </xf>
    <xf numFmtId="0" fontId="28" fillId="17" borderId="2" xfId="0" applyFont="1" applyFill="1" applyBorder="1" applyAlignment="1">
      <alignment horizontal="center" vertical="center" wrapText="1"/>
    </xf>
    <xf numFmtId="0" fontId="21" fillId="16" borderId="2" xfId="0" applyFont="1" applyFill="1" applyBorder="1" applyAlignment="1">
      <alignment horizontal="center" vertical="center"/>
    </xf>
    <xf numFmtId="0" fontId="21" fillId="3" borderId="2" xfId="0" applyFont="1" applyFill="1" applyBorder="1" applyAlignment="1">
      <alignment horizontal="center" vertical="center"/>
    </xf>
    <xf numFmtId="0" fontId="21" fillId="16" borderId="2" xfId="0" applyFont="1" applyFill="1" applyBorder="1" applyAlignment="1">
      <alignment horizontal="center" vertical="center"/>
    </xf>
    <xf numFmtId="0" fontId="21" fillId="18" borderId="2" xfId="0" applyFont="1" applyFill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21" fillId="18" borderId="2" xfId="0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 wrapText="1"/>
    </xf>
    <xf numFmtId="0" fontId="10" fillId="7" borderId="2" xfId="1" applyFont="1" applyFill="1" applyBorder="1" applyAlignment="1">
      <alignment horizontal="center" vertical="center"/>
    </xf>
    <xf numFmtId="0" fontId="21" fillId="16" borderId="2" xfId="0" applyFont="1" applyFill="1" applyBorder="1" applyAlignment="1">
      <alignment horizontal="left" vertical="center" wrapText="1"/>
    </xf>
    <xf numFmtId="3" fontId="21" fillId="16" borderId="2" xfId="0" applyNumberFormat="1" applyFont="1" applyFill="1" applyBorder="1" applyAlignment="1">
      <alignment horizontal="center" vertical="center"/>
    </xf>
    <xf numFmtId="164" fontId="21" fillId="16" borderId="2" xfId="0" applyNumberFormat="1" applyFont="1" applyFill="1" applyBorder="1" applyAlignment="1">
      <alignment horizontal="right" vertical="center"/>
    </xf>
    <xf numFmtId="164" fontId="21" fillId="7" borderId="2" xfId="0" applyNumberFormat="1" applyFont="1" applyFill="1" applyBorder="1" applyAlignment="1">
      <alignment horizontal="right" vertical="center"/>
    </xf>
    <xf numFmtId="172" fontId="21" fillId="16" borderId="2" xfId="0" applyNumberFormat="1" applyFont="1" applyFill="1" applyBorder="1" applyAlignment="1">
      <alignment horizontal="center" vertical="center"/>
    </xf>
    <xf numFmtId="2" fontId="21" fillId="7" borderId="2" xfId="0" applyNumberFormat="1" applyFont="1" applyFill="1" applyBorder="1" applyAlignment="1">
      <alignment horizontal="center" vertical="center"/>
    </xf>
    <xf numFmtId="164" fontId="12" fillId="7" borderId="2" xfId="0" applyNumberFormat="1" applyFont="1" applyFill="1" applyBorder="1" applyAlignment="1">
      <alignment horizontal="right" vertical="center"/>
    </xf>
    <xf numFmtId="0" fontId="10" fillId="18" borderId="2" xfId="1" applyFont="1" applyFill="1" applyBorder="1" applyAlignment="1">
      <alignment horizontal="center" vertical="center"/>
    </xf>
    <xf numFmtId="164" fontId="21" fillId="18" borderId="2" xfId="0" applyNumberFormat="1" applyFont="1" applyFill="1" applyBorder="1" applyAlignment="1">
      <alignment horizontal="right" vertical="center"/>
    </xf>
    <xf numFmtId="2" fontId="21" fillId="18" borderId="2" xfId="0" applyNumberFormat="1" applyFont="1" applyFill="1" applyBorder="1" applyAlignment="1">
      <alignment horizontal="center" vertical="center"/>
    </xf>
    <xf numFmtId="164" fontId="12" fillId="18" borderId="2" xfId="0" applyNumberFormat="1" applyFont="1" applyFill="1" applyBorder="1" applyAlignment="1">
      <alignment horizontal="right" vertical="center"/>
    </xf>
    <xf numFmtId="0" fontId="21" fillId="16" borderId="6" xfId="0" applyFont="1" applyFill="1" applyBorder="1" applyAlignment="1">
      <alignment horizontal="center" vertical="center" wrapText="1"/>
    </xf>
    <xf numFmtId="0" fontId="21" fillId="16" borderId="8" xfId="0" applyFont="1" applyFill="1" applyBorder="1" applyAlignment="1">
      <alignment horizontal="center" vertical="center" wrapText="1"/>
    </xf>
    <xf numFmtId="3" fontId="21" fillId="16" borderId="6" xfId="0" applyNumberFormat="1" applyFont="1" applyFill="1" applyBorder="1" applyAlignment="1">
      <alignment horizontal="center" vertical="center"/>
    </xf>
    <xf numFmtId="164" fontId="21" fillId="16" borderId="6" xfId="0" applyNumberFormat="1" applyFont="1" applyFill="1" applyBorder="1" applyAlignment="1">
      <alignment horizontal="right" vertical="center"/>
    </xf>
    <xf numFmtId="172" fontId="21" fillId="16" borderId="6" xfId="0" applyNumberFormat="1" applyFont="1" applyFill="1" applyBorder="1" applyAlignment="1">
      <alignment horizontal="center" vertical="center"/>
    </xf>
    <xf numFmtId="0" fontId="12" fillId="5" borderId="6" xfId="0" applyFont="1" applyFill="1" applyBorder="1" applyAlignment="1">
      <alignment horizontal="right" vertical="center"/>
    </xf>
    <xf numFmtId="171" fontId="13" fillId="16" borderId="0" xfId="0" applyNumberFormat="1" applyFont="1" applyFill="1" applyAlignment="1">
      <alignment vertical="center" wrapText="1"/>
    </xf>
    <xf numFmtId="165" fontId="13" fillId="15" borderId="2" xfId="0" applyNumberFormat="1" applyFont="1" applyFill="1" applyBorder="1" applyAlignment="1">
      <alignment horizontal="right" vertical="center" wrapText="1"/>
    </xf>
    <xf numFmtId="165" fontId="13" fillId="4" borderId="2" xfId="0" applyNumberFormat="1" applyFont="1" applyFill="1" applyBorder="1" applyAlignment="1">
      <alignment horizontal="right" vertical="center" wrapText="1"/>
    </xf>
    <xf numFmtId="164" fontId="13" fillId="15" borderId="2" xfId="0" applyNumberFormat="1" applyFont="1" applyFill="1" applyBorder="1" applyAlignment="1">
      <alignment horizontal="right" vertical="center" wrapText="1"/>
    </xf>
    <xf numFmtId="164" fontId="13" fillId="4" borderId="2" xfId="0" applyNumberFormat="1" applyFont="1" applyFill="1" applyBorder="1" applyAlignment="1">
      <alignment horizontal="right" vertical="center" wrapText="1"/>
    </xf>
    <xf numFmtId="2" fontId="13" fillId="3" borderId="2" xfId="0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horizontal="left" vertical="center" wrapText="1"/>
    </xf>
    <xf numFmtId="0" fontId="21" fillId="0" borderId="0" xfId="0" applyFont="1" applyAlignment="1">
      <alignment vertical="center" wrapText="1"/>
    </xf>
    <xf numFmtId="14" fontId="21" fillId="0" borderId="0" xfId="0" applyNumberFormat="1" applyFont="1" applyAlignment="1">
      <alignment vertical="center" wrapText="1"/>
    </xf>
    <xf numFmtId="0" fontId="17" fillId="0" borderId="13" xfId="0" applyFont="1" applyBorder="1" applyAlignment="1">
      <alignment horizontal="left" vertical="center" wrapText="1"/>
    </xf>
    <xf numFmtId="0" fontId="28" fillId="17" borderId="6" xfId="0" applyFont="1" applyFill="1" applyBorder="1" applyAlignment="1">
      <alignment horizontal="center" vertical="center" wrapText="1"/>
    </xf>
    <xf numFmtId="0" fontId="29" fillId="6" borderId="8" xfId="0" applyFont="1" applyFill="1" applyBorder="1" applyAlignment="1">
      <alignment horizontal="center" vertical="center" wrapText="1"/>
    </xf>
    <xf numFmtId="0" fontId="13" fillId="0" borderId="0" xfId="0" applyFont="1"/>
    <xf numFmtId="0" fontId="13" fillId="0" borderId="22" xfId="0" applyFont="1" applyFill="1" applyBorder="1"/>
    <xf numFmtId="0" fontId="30" fillId="0" borderId="0" xfId="0" applyFont="1" applyAlignment="1">
      <alignment horizontal="left" vertical="center" wrapText="1"/>
    </xf>
    <xf numFmtId="0" fontId="30" fillId="0" borderId="0" xfId="0" applyFont="1" applyAlignment="1">
      <alignment horizontal="left" vertical="center" wrapText="1"/>
    </xf>
    <xf numFmtId="0" fontId="8" fillId="5" borderId="17" xfId="0" applyFont="1" applyFill="1" applyBorder="1" applyAlignment="1">
      <alignment horizontal="left" vertical="center"/>
    </xf>
    <xf numFmtId="0" fontId="8" fillId="5" borderId="18" xfId="0" applyFont="1" applyFill="1" applyBorder="1" applyAlignment="1">
      <alignment horizontal="left" vertical="center"/>
    </xf>
    <xf numFmtId="0" fontId="26" fillId="17" borderId="2" xfId="0" applyFont="1" applyFill="1" applyBorder="1" applyAlignment="1">
      <alignment horizontal="center" vertical="center" wrapText="1"/>
    </xf>
    <xf numFmtId="0" fontId="26" fillId="17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0" fillId="16" borderId="2" xfId="1" applyFont="1" applyFill="1" applyBorder="1" applyAlignment="1">
      <alignment horizontal="center" vertical="top" wrapText="1"/>
    </xf>
    <xf numFmtId="0" fontId="13" fillId="16" borderId="2" xfId="0" applyFont="1" applyFill="1" applyBorder="1" applyAlignment="1">
      <alignment horizontal="left"/>
    </xf>
    <xf numFmtId="4" fontId="13" fillId="16" borderId="2" xfId="0" applyNumberFormat="1" applyFont="1" applyFill="1" applyBorder="1" applyAlignment="1">
      <alignment horizontal="center" vertical="top" wrapText="1"/>
    </xf>
    <xf numFmtId="164" fontId="13" fillId="16" borderId="2" xfId="0" applyNumberFormat="1" applyFont="1" applyFill="1" applyBorder="1" applyAlignment="1">
      <alignment horizontal="right" vertical="top" wrapText="1"/>
    </xf>
    <xf numFmtId="166" fontId="13" fillId="7" borderId="2" xfId="0" applyNumberFormat="1" applyFont="1" applyFill="1" applyBorder="1" applyAlignment="1">
      <alignment horizontal="right" vertical="top" wrapText="1"/>
    </xf>
    <xf numFmtId="172" fontId="13" fillId="16" borderId="2" xfId="0" applyNumberFormat="1" applyFont="1" applyFill="1" applyBorder="1" applyAlignment="1">
      <alignment horizontal="center" vertical="top" wrapText="1"/>
    </xf>
    <xf numFmtId="2" fontId="13" fillId="16" borderId="2" xfId="0" applyNumberFormat="1" applyFont="1" applyFill="1" applyBorder="1" applyAlignment="1">
      <alignment horizontal="center" vertical="top" wrapText="1"/>
    </xf>
    <xf numFmtId="166" fontId="8" fillId="7" borderId="2" xfId="0" applyNumberFormat="1" applyFont="1" applyFill="1" applyBorder="1" applyAlignment="1">
      <alignment horizontal="right" vertical="top" wrapText="1"/>
    </xf>
    <xf numFmtId="0" fontId="13" fillId="16" borderId="6" xfId="0" applyFont="1" applyFill="1" applyBorder="1" applyAlignment="1">
      <alignment horizontal="center"/>
    </xf>
    <xf numFmtId="0" fontId="13" fillId="16" borderId="8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right"/>
    </xf>
    <xf numFmtId="0" fontId="8" fillId="4" borderId="2" xfId="0" applyFont="1" applyFill="1" applyBorder="1" applyAlignment="1">
      <alignment horizontal="right"/>
    </xf>
    <xf numFmtId="0" fontId="8" fillId="5" borderId="2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left" vertical="center" wrapText="1"/>
    </xf>
    <xf numFmtId="166" fontId="13" fillId="16" borderId="2" xfId="0" applyNumberFormat="1" applyFont="1" applyFill="1" applyBorder="1" applyAlignment="1">
      <alignment horizontal="right" vertical="center" wrapText="1"/>
    </xf>
    <xf numFmtId="166" fontId="13" fillId="3" borderId="2" xfId="0" applyNumberFormat="1" applyFont="1" applyFill="1" applyBorder="1" applyAlignment="1">
      <alignment horizontal="right" vertical="center" wrapText="1"/>
    </xf>
    <xf numFmtId="166" fontId="13" fillId="15" borderId="2" xfId="0" applyNumberFormat="1" applyFont="1" applyFill="1" applyBorder="1" applyAlignment="1">
      <alignment horizontal="right" vertical="center" wrapText="1"/>
    </xf>
    <xf numFmtId="166" fontId="13" fillId="4" borderId="2" xfId="0" applyNumberFormat="1" applyFont="1" applyFill="1" applyBorder="1" applyAlignment="1">
      <alignment horizontal="right" vertical="center" wrapText="1"/>
    </xf>
    <xf numFmtId="168" fontId="13" fillId="16" borderId="2" xfId="0" applyNumberFormat="1" applyFont="1" applyFill="1" applyBorder="1" applyAlignment="1">
      <alignment horizontal="right" vertical="center" wrapText="1"/>
    </xf>
    <xf numFmtId="10" fontId="13" fillId="16" borderId="2" xfId="0" applyNumberFormat="1" applyFont="1" applyFill="1" applyBorder="1" applyAlignment="1">
      <alignment horizontal="right" vertical="center" wrapText="1"/>
    </xf>
    <xf numFmtId="0" fontId="8" fillId="13" borderId="3" xfId="0" applyFont="1" applyFill="1" applyBorder="1" applyAlignment="1">
      <alignment horizontal="left" vertical="center"/>
    </xf>
    <xf numFmtId="164" fontId="8" fillId="4" borderId="4" xfId="0" applyNumberFormat="1" applyFont="1" applyFill="1" applyBorder="1" applyAlignment="1">
      <alignment horizontal="right" vertical="center"/>
    </xf>
    <xf numFmtId="0" fontId="8" fillId="5" borderId="7" xfId="0" applyFont="1" applyFill="1" applyBorder="1" applyAlignment="1">
      <alignment horizontal="left"/>
    </xf>
    <xf numFmtId="0" fontId="13" fillId="16" borderId="12" xfId="0" applyFont="1" applyFill="1" applyBorder="1" applyAlignment="1">
      <alignment horizontal="justify" vertical="center" wrapText="1"/>
    </xf>
    <xf numFmtId="0" fontId="13" fillId="16" borderId="13" xfId="0" applyFont="1" applyFill="1" applyBorder="1" applyAlignment="1">
      <alignment horizontal="justify" vertical="center" wrapText="1"/>
    </xf>
    <xf numFmtId="0" fontId="13" fillId="16" borderId="14" xfId="0" applyFont="1" applyFill="1" applyBorder="1" applyAlignment="1">
      <alignment horizontal="justify" vertical="center" wrapText="1"/>
    </xf>
    <xf numFmtId="14" fontId="13" fillId="0" borderId="0" xfId="0" applyNumberFormat="1" applyFont="1" applyAlignment="1">
      <alignment vertical="center" wrapText="1"/>
    </xf>
    <xf numFmtId="0" fontId="8" fillId="5" borderId="6" xfId="0" applyFont="1" applyFill="1" applyBorder="1" applyAlignment="1">
      <alignment horizontal="right" vertical="center"/>
    </xf>
    <xf numFmtId="164" fontId="23" fillId="5" borderId="8" xfId="0" applyNumberFormat="1" applyFont="1" applyFill="1" applyBorder="1" applyAlignment="1">
      <alignment horizontal="right" vertical="center"/>
    </xf>
    <xf numFmtId="0" fontId="12" fillId="5" borderId="9" xfId="0" applyFont="1" applyFill="1" applyBorder="1" applyAlignment="1">
      <alignment horizontal="left" vertical="center"/>
    </xf>
    <xf numFmtId="0" fontId="29" fillId="6" borderId="17" xfId="0" applyFont="1" applyFill="1" applyBorder="1" applyAlignment="1">
      <alignment horizontal="center" vertical="center" wrapText="1"/>
    </xf>
    <xf numFmtId="0" fontId="28" fillId="17" borderId="17" xfId="0" applyFont="1" applyFill="1" applyBorder="1" applyAlignment="1">
      <alignment horizontal="center" vertical="center" wrapText="1"/>
    </xf>
    <xf numFmtId="0" fontId="28" fillId="17" borderId="18" xfId="0" applyFont="1" applyFill="1" applyBorder="1" applyAlignment="1">
      <alignment horizontal="center" vertical="center" wrapText="1"/>
    </xf>
    <xf numFmtId="0" fontId="21" fillId="16" borderId="16" xfId="0" applyFont="1" applyFill="1" applyBorder="1" applyAlignment="1">
      <alignment horizontal="left"/>
    </xf>
    <xf numFmtId="0" fontId="21" fillId="3" borderId="17" xfId="0" applyFont="1" applyFill="1" applyBorder="1"/>
    <xf numFmtId="4" fontId="21" fillId="16" borderId="17" xfId="0" applyNumberFormat="1" applyFont="1" applyFill="1" applyBorder="1" applyAlignment="1">
      <alignment horizontal="right"/>
    </xf>
    <xf numFmtId="171" fontId="21" fillId="16" borderId="17" xfId="0" applyNumberFormat="1" applyFont="1" applyFill="1" applyBorder="1" applyAlignment="1">
      <alignment horizontal="right"/>
    </xf>
    <xf numFmtId="1" fontId="21" fillId="16" borderId="17" xfId="0" applyNumberFormat="1" applyFont="1" applyFill="1" applyBorder="1" applyAlignment="1">
      <alignment horizontal="center"/>
    </xf>
    <xf numFmtId="168" fontId="21" fillId="7" borderId="17" xfId="0" applyNumberFormat="1" applyFont="1" applyFill="1" applyBorder="1" applyAlignment="1">
      <alignment horizontal="center"/>
    </xf>
    <xf numFmtId="164" fontId="21" fillId="7" borderId="17" xfId="0" applyNumberFormat="1" applyFont="1" applyFill="1" applyBorder="1" applyAlignment="1">
      <alignment horizontal="right"/>
    </xf>
    <xf numFmtId="164" fontId="12" fillId="7" borderId="18" xfId="0" applyNumberFormat="1" applyFont="1" applyFill="1" applyBorder="1" applyAlignment="1">
      <alignment horizontal="right"/>
    </xf>
    <xf numFmtId="168" fontId="21" fillId="18" borderId="17" xfId="0" applyNumberFormat="1" applyFont="1" applyFill="1" applyBorder="1" applyAlignment="1">
      <alignment horizontal="center"/>
    </xf>
    <xf numFmtId="164" fontId="21" fillId="18" borderId="17" xfId="0" applyNumberFormat="1" applyFont="1" applyFill="1" applyBorder="1" applyAlignment="1">
      <alignment horizontal="right"/>
    </xf>
    <xf numFmtId="164" fontId="12" fillId="18" borderId="18" xfId="0" applyNumberFormat="1" applyFont="1" applyFill="1" applyBorder="1" applyAlignment="1">
      <alignment horizontal="right"/>
    </xf>
    <xf numFmtId="0" fontId="8" fillId="5" borderId="7" xfId="0" applyFont="1" applyFill="1" applyBorder="1" applyAlignment="1">
      <alignment horizontal="right"/>
    </xf>
    <xf numFmtId="0" fontId="21" fillId="16" borderId="2" xfId="0" applyFont="1" applyFill="1" applyBorder="1" applyAlignment="1">
      <alignment horizontal="left" vertical="center"/>
    </xf>
    <xf numFmtId="0" fontId="21" fillId="3" borderId="2" xfId="0" applyFont="1" applyFill="1" applyBorder="1" applyAlignment="1">
      <alignment horizontal="left" vertical="center"/>
    </xf>
    <xf numFmtId="164" fontId="21" fillId="16" borderId="2" xfId="0" applyNumberFormat="1" applyFont="1" applyFill="1" applyBorder="1" applyAlignment="1">
      <alignment horizontal="right" vertical="center"/>
    </xf>
    <xf numFmtId="164" fontId="21" fillId="3" borderId="2" xfId="0" applyNumberFormat="1" applyFont="1" applyFill="1" applyBorder="1" applyAlignment="1">
      <alignment horizontal="right" vertical="center"/>
    </xf>
    <xf numFmtId="164" fontId="12" fillId="7" borderId="2" xfId="0" applyNumberFormat="1" applyFont="1" applyFill="1" applyBorder="1" applyAlignment="1">
      <alignment horizontal="right" vertical="center"/>
    </xf>
    <xf numFmtId="164" fontId="12" fillId="18" borderId="2" xfId="0" applyNumberFormat="1" applyFont="1" applyFill="1" applyBorder="1" applyAlignment="1">
      <alignment horizontal="right" vertical="center"/>
    </xf>
    <xf numFmtId="164" fontId="12" fillId="8" borderId="2" xfId="0" applyNumberFormat="1" applyFont="1" applyFill="1" applyBorder="1" applyAlignment="1">
      <alignment horizontal="right" vertical="center"/>
    </xf>
    <xf numFmtId="0" fontId="12" fillId="5" borderId="17" xfId="0" applyFont="1" applyFill="1" applyBorder="1" applyAlignment="1">
      <alignment horizontal="left"/>
    </xf>
    <xf numFmtId="0" fontId="12" fillId="5" borderId="18" xfId="0" applyFont="1" applyFill="1" applyBorder="1" applyAlignment="1">
      <alignment horizontal="left"/>
    </xf>
    <xf numFmtId="0" fontId="25" fillId="16" borderId="16" xfId="0" applyFont="1" applyFill="1" applyBorder="1" applyAlignment="1">
      <alignment horizontal="left" vertical="center"/>
    </xf>
    <xf numFmtId="0" fontId="25" fillId="3" borderId="17" xfId="0" applyFont="1" applyFill="1" applyBorder="1" applyAlignment="1">
      <alignment horizontal="left" vertical="center"/>
    </xf>
    <xf numFmtId="0" fontId="25" fillId="3" borderId="18" xfId="0" applyFont="1" applyFill="1" applyBorder="1" applyAlignment="1">
      <alignment horizontal="left" vertical="center"/>
    </xf>
    <xf numFmtId="0" fontId="25" fillId="16" borderId="6" xfId="0" applyFont="1" applyFill="1" applyBorder="1" applyAlignment="1">
      <alignment horizontal="left" vertical="center"/>
    </xf>
    <xf numFmtId="0" fontId="25" fillId="3" borderId="7" xfId="0" applyFont="1" applyFill="1" applyBorder="1" applyAlignment="1">
      <alignment horizontal="left" vertical="center"/>
    </xf>
    <xf numFmtId="0" fontId="25" fillId="3" borderId="8" xfId="0" applyFont="1" applyFill="1" applyBorder="1" applyAlignment="1">
      <alignment horizontal="left" vertical="center"/>
    </xf>
    <xf numFmtId="0" fontId="21" fillId="16" borderId="16" xfId="0" applyFont="1" applyFill="1" applyBorder="1" applyAlignment="1">
      <alignment horizontal="justify" vertical="top" wrapText="1"/>
    </xf>
    <xf numFmtId="0" fontId="21" fillId="3" borderId="17" xfId="0" applyFont="1" applyFill="1" applyBorder="1" applyAlignment="1">
      <alignment horizontal="justify" vertical="top" wrapText="1"/>
    </xf>
    <xf numFmtId="0" fontId="21" fillId="3" borderId="18" xfId="0" applyFont="1" applyFill="1" applyBorder="1" applyAlignment="1">
      <alignment horizontal="justify" vertical="top" wrapText="1"/>
    </xf>
    <xf numFmtId="0" fontId="32" fillId="16" borderId="0" xfId="0" applyFont="1" applyFill="1" applyAlignment="1">
      <alignment horizontal="left" vertical="center"/>
    </xf>
    <xf numFmtId="0" fontId="32" fillId="3" borderId="0" xfId="0" applyFont="1" applyFill="1" applyAlignment="1">
      <alignment horizontal="left" vertical="center"/>
    </xf>
    <xf numFmtId="0" fontId="33" fillId="10" borderId="0" xfId="0" applyFont="1" applyFill="1" applyAlignment="1">
      <alignment horizontal="left" vertical="center"/>
    </xf>
    <xf numFmtId="0" fontId="21" fillId="3" borderId="10" xfId="0" applyFont="1" applyFill="1" applyBorder="1" applyAlignment="1">
      <alignment horizontal="justify" vertical="top" wrapText="1"/>
    </xf>
    <xf numFmtId="0" fontId="21" fillId="3" borderId="0" xfId="0" applyFont="1" applyFill="1" applyAlignment="1">
      <alignment horizontal="justify" vertical="top" wrapText="1"/>
    </xf>
    <xf numFmtId="0" fontId="21" fillId="3" borderId="11" xfId="0" applyFont="1" applyFill="1" applyBorder="1" applyAlignment="1">
      <alignment horizontal="justify" vertical="top" wrapText="1"/>
    </xf>
    <xf numFmtId="0" fontId="22" fillId="17" borderId="0" xfId="0" applyFont="1" applyFill="1" applyAlignment="1">
      <alignment horizontal="center" vertical="center"/>
    </xf>
    <xf numFmtId="0" fontId="23" fillId="6" borderId="0" xfId="0" applyFont="1" applyFill="1" applyAlignment="1">
      <alignment horizontal="left" vertical="center"/>
    </xf>
    <xf numFmtId="0" fontId="28" fillId="9" borderId="0" xfId="0" applyFont="1" applyFill="1" applyAlignment="1">
      <alignment horizontal="left"/>
    </xf>
    <xf numFmtId="167" fontId="10" fillId="7" borderId="10" xfId="0" applyNumberFormat="1" applyFont="1" applyFill="1" applyBorder="1" applyAlignment="1">
      <alignment horizontal="center" vertical="center"/>
    </xf>
    <xf numFmtId="10" fontId="10" fillId="7" borderId="0" xfId="0" applyNumberFormat="1" applyFont="1" applyFill="1" applyAlignment="1">
      <alignment horizontal="center" vertical="center"/>
    </xf>
    <xf numFmtId="0" fontId="10" fillId="7" borderId="0" xfId="0" applyFont="1" applyFill="1" applyAlignment="1">
      <alignment horizontal="left" vertical="center"/>
    </xf>
    <xf numFmtId="0" fontId="34" fillId="11" borderId="0" xfId="0" applyFont="1" applyFill="1" applyAlignment="1">
      <alignment horizontal="left"/>
    </xf>
    <xf numFmtId="0" fontId="34" fillId="11" borderId="11" xfId="0" applyFont="1" applyFill="1" applyBorder="1" applyAlignment="1">
      <alignment horizontal="left"/>
    </xf>
    <xf numFmtId="167" fontId="10" fillId="18" borderId="16" xfId="0" applyNumberFormat="1" applyFont="1" applyFill="1" applyBorder="1" applyAlignment="1">
      <alignment horizontal="center" vertical="center"/>
    </xf>
    <xf numFmtId="10" fontId="10" fillId="18" borderId="17" xfId="0" applyNumberFormat="1" applyFont="1" applyFill="1" applyBorder="1" applyAlignment="1">
      <alignment horizontal="center" vertical="center"/>
    </xf>
    <xf numFmtId="0" fontId="10" fillId="18" borderId="0" xfId="0" applyFont="1" applyFill="1" applyAlignment="1">
      <alignment horizontal="left" vertical="center"/>
    </xf>
    <xf numFmtId="0" fontId="10" fillId="8" borderId="0" xfId="0" applyFont="1" applyFill="1" applyAlignment="1">
      <alignment horizontal="left" vertical="center"/>
    </xf>
    <xf numFmtId="0" fontId="34" fillId="12" borderId="0" xfId="0" applyFont="1" applyFill="1" applyAlignment="1">
      <alignment horizontal="left"/>
    </xf>
    <xf numFmtId="0" fontId="34" fillId="12" borderId="11" xfId="0" applyFont="1" applyFill="1" applyBorder="1" applyAlignment="1">
      <alignment horizontal="left"/>
    </xf>
    <xf numFmtId="0" fontId="21" fillId="3" borderId="12" xfId="0" applyFont="1" applyFill="1" applyBorder="1" applyAlignment="1">
      <alignment horizontal="justify" vertical="top" wrapText="1"/>
    </xf>
    <xf numFmtId="0" fontId="21" fillId="3" borderId="13" xfId="0" applyFont="1" applyFill="1" applyBorder="1" applyAlignment="1">
      <alignment horizontal="justify" vertical="top" wrapText="1"/>
    </xf>
    <xf numFmtId="0" fontId="21" fillId="3" borderId="14" xfId="0" applyFont="1" applyFill="1" applyBorder="1" applyAlignment="1">
      <alignment horizontal="justify" vertical="top" wrapText="1"/>
    </xf>
    <xf numFmtId="167" fontId="10" fillId="7" borderId="16" xfId="0" applyNumberFormat="1" applyFont="1" applyFill="1" applyBorder="1" applyAlignment="1">
      <alignment horizontal="center" vertical="center"/>
    </xf>
    <xf numFmtId="10" fontId="10" fillId="7" borderId="17" xfId="0" applyNumberFormat="1" applyFont="1" applyFill="1" applyBorder="1" applyAlignment="1">
      <alignment horizontal="center" vertical="center"/>
    </xf>
    <xf numFmtId="10" fontId="10" fillId="7" borderId="17" xfId="0" applyNumberFormat="1" applyFont="1" applyFill="1" applyBorder="1" applyAlignment="1">
      <alignment horizontal="left" vertical="center" indent="4"/>
    </xf>
    <xf numFmtId="167" fontId="10" fillId="7" borderId="6" xfId="0" applyNumberFormat="1" applyFont="1" applyFill="1" applyBorder="1" applyAlignment="1">
      <alignment horizontal="center" vertical="center"/>
    </xf>
    <xf numFmtId="10" fontId="10" fillId="7" borderId="7" xfId="0" applyNumberFormat="1" applyFont="1" applyFill="1" applyBorder="1" applyAlignment="1">
      <alignment horizontal="center" vertical="center"/>
    </xf>
    <xf numFmtId="0" fontId="26" fillId="17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left" vertical="center"/>
    </xf>
    <xf numFmtId="168" fontId="13" fillId="16" borderId="2" xfId="0" applyNumberFormat="1" applyFont="1" applyFill="1" applyBorder="1" applyAlignment="1">
      <alignment horizontal="center" vertical="center"/>
    </xf>
    <xf numFmtId="164" fontId="13" fillId="7" borderId="2" xfId="0" applyNumberFormat="1" applyFont="1" applyFill="1" applyBorder="1" applyAlignment="1">
      <alignment horizontal="right" vertical="center"/>
    </xf>
    <xf numFmtId="164" fontId="8" fillId="7" borderId="2" xfId="0" applyNumberFormat="1" applyFont="1" applyFill="1" applyBorder="1" applyAlignment="1">
      <alignment horizontal="right" vertical="center"/>
    </xf>
    <xf numFmtId="0" fontId="13" fillId="18" borderId="2" xfId="0" applyFont="1" applyFill="1" applyBorder="1" applyAlignment="1">
      <alignment horizontal="left" vertical="center"/>
    </xf>
    <xf numFmtId="0" fontId="13" fillId="8" borderId="2" xfId="0" applyFont="1" applyFill="1" applyBorder="1" applyAlignment="1">
      <alignment horizontal="left" vertical="center"/>
    </xf>
    <xf numFmtId="164" fontId="13" fillId="18" borderId="2" xfId="0" applyNumberFormat="1" applyFont="1" applyFill="1" applyBorder="1" applyAlignment="1">
      <alignment horizontal="right" vertical="center"/>
    </xf>
    <xf numFmtId="164" fontId="13" fillId="8" borderId="2" xfId="0" applyNumberFormat="1" applyFont="1" applyFill="1" applyBorder="1" applyAlignment="1">
      <alignment horizontal="right" vertical="center"/>
    </xf>
    <xf numFmtId="164" fontId="8" fillId="18" borderId="2" xfId="0" applyNumberFormat="1" applyFont="1" applyFill="1" applyBorder="1" applyAlignment="1">
      <alignment horizontal="right" vertical="center"/>
    </xf>
    <xf numFmtId="164" fontId="8" fillId="8" borderId="2" xfId="0" applyNumberFormat="1" applyFont="1" applyFill="1" applyBorder="1" applyAlignment="1">
      <alignment horizontal="right" vertical="center"/>
    </xf>
    <xf numFmtId="0" fontId="12" fillId="5" borderId="6" xfId="0" applyFont="1" applyFill="1" applyBorder="1" applyAlignment="1">
      <alignment horizontal="left" vertical="center"/>
    </xf>
    <xf numFmtId="10" fontId="12" fillId="5" borderId="7" xfId="0" applyNumberFormat="1" applyFont="1" applyFill="1" applyBorder="1" applyAlignment="1">
      <alignment horizontal="center" vertical="center"/>
    </xf>
    <xf numFmtId="0" fontId="13" fillId="15" borderId="7" xfId="0" applyFont="1" applyFill="1" applyBorder="1" applyAlignment="1">
      <alignment horizontal="left" vertical="center"/>
    </xf>
    <xf numFmtId="0" fontId="13" fillId="5" borderId="7" xfId="0" applyFont="1" applyFill="1" applyBorder="1" applyAlignment="1">
      <alignment horizontal="left" vertical="center"/>
    </xf>
    <xf numFmtId="164" fontId="8" fillId="5" borderId="8" xfId="0" applyNumberFormat="1" applyFont="1" applyFill="1" applyBorder="1" applyAlignment="1">
      <alignment horizontal="right" vertical="center"/>
    </xf>
    <xf numFmtId="0" fontId="14" fillId="17" borderId="3" xfId="0" applyFont="1" applyFill="1" applyBorder="1" applyAlignment="1">
      <alignment horizontal="left" vertical="center"/>
    </xf>
    <xf numFmtId="0" fontId="15" fillId="13" borderId="3" xfId="0" applyFont="1" applyFill="1" applyBorder="1" applyAlignment="1">
      <alignment horizontal="left" vertical="center"/>
    </xf>
    <xf numFmtId="164" fontId="35" fillId="15" borderId="4" xfId="0" applyNumberFormat="1" applyFont="1" applyFill="1" applyBorder="1" applyAlignment="1">
      <alignment horizontal="right" vertical="center"/>
    </xf>
    <xf numFmtId="164" fontId="35" fillId="4" borderId="4" xfId="0" applyNumberFormat="1" applyFont="1" applyFill="1" applyBorder="1" applyAlignment="1">
      <alignment horizontal="right" vertical="center"/>
    </xf>
    <xf numFmtId="0" fontId="10" fillId="16" borderId="17" xfId="0" applyFont="1" applyFill="1" applyBorder="1" applyAlignment="1">
      <alignment horizontal="justify" vertical="top" wrapText="1"/>
    </xf>
    <xf numFmtId="0" fontId="10" fillId="16" borderId="18" xfId="0" applyFont="1" applyFill="1" applyBorder="1" applyAlignment="1">
      <alignment horizontal="justify" vertical="top" wrapText="1"/>
    </xf>
    <xf numFmtId="0" fontId="10" fillId="16" borderId="10" xfId="0" applyFont="1" applyFill="1" applyBorder="1" applyAlignment="1">
      <alignment horizontal="justify" vertical="top" wrapText="1"/>
    </xf>
    <xf numFmtId="0" fontId="10" fillId="16" borderId="0" xfId="0" applyFont="1" applyFill="1" applyAlignment="1">
      <alignment horizontal="justify" vertical="top" wrapText="1"/>
    </xf>
    <xf numFmtId="0" fontId="10" fillId="16" borderId="11" xfId="0" applyFont="1" applyFill="1" applyBorder="1" applyAlignment="1">
      <alignment horizontal="justify" vertical="top" wrapText="1"/>
    </xf>
    <xf numFmtId="0" fontId="10" fillId="16" borderId="12" xfId="0" applyFont="1" applyFill="1" applyBorder="1" applyAlignment="1">
      <alignment horizontal="justify" vertical="top" wrapText="1"/>
    </xf>
    <xf numFmtId="0" fontId="10" fillId="16" borderId="13" xfId="0" applyFont="1" applyFill="1" applyBorder="1" applyAlignment="1">
      <alignment horizontal="justify" vertical="top" wrapText="1"/>
    </xf>
    <xf numFmtId="0" fontId="10" fillId="16" borderId="14" xfId="0" applyFont="1" applyFill="1" applyBorder="1" applyAlignment="1">
      <alignment horizontal="justify" vertical="top" wrapText="1"/>
    </xf>
    <xf numFmtId="0" fontId="13" fillId="3" borderId="17" xfId="0" applyFont="1" applyFill="1" applyBorder="1" applyAlignment="1">
      <alignment horizontal="justify" vertical="top" wrapText="1"/>
    </xf>
    <xf numFmtId="0" fontId="13" fillId="3" borderId="18" xfId="0" applyFont="1" applyFill="1" applyBorder="1" applyAlignment="1">
      <alignment horizontal="justify" vertical="top" wrapText="1"/>
    </xf>
    <xf numFmtId="0" fontId="13" fillId="3" borderId="10" xfId="0" applyFont="1" applyFill="1" applyBorder="1" applyAlignment="1">
      <alignment horizontal="justify" vertical="top" wrapText="1"/>
    </xf>
    <xf numFmtId="0" fontId="13" fillId="3" borderId="0" xfId="0" applyFont="1" applyFill="1" applyAlignment="1">
      <alignment horizontal="justify" vertical="top" wrapText="1"/>
    </xf>
    <xf numFmtId="0" fontId="13" fillId="3" borderId="11" xfId="0" applyFont="1" applyFill="1" applyBorder="1" applyAlignment="1">
      <alignment horizontal="justify" vertical="top" wrapText="1"/>
    </xf>
    <xf numFmtId="0" fontId="13" fillId="3" borderId="12" xfId="0" applyFont="1" applyFill="1" applyBorder="1" applyAlignment="1">
      <alignment horizontal="justify" vertical="top" wrapText="1"/>
    </xf>
    <xf numFmtId="0" fontId="13" fillId="3" borderId="13" xfId="0" applyFont="1" applyFill="1" applyBorder="1" applyAlignment="1">
      <alignment horizontal="justify" vertical="top" wrapText="1"/>
    </xf>
    <xf numFmtId="0" fontId="13" fillId="3" borderId="14" xfId="0" applyFont="1" applyFill="1" applyBorder="1" applyAlignment="1">
      <alignment horizontal="justify" vertical="top" wrapText="1"/>
    </xf>
    <xf numFmtId="0" fontId="13" fillId="0" borderId="15" xfId="0" applyFont="1" applyBorder="1" applyAlignment="1">
      <alignment horizontal="left" vertical="center"/>
    </xf>
    <xf numFmtId="0" fontId="36" fillId="14" borderId="0" xfId="0" applyFont="1" applyFill="1"/>
    <xf numFmtId="0" fontId="25" fillId="0" borderId="0" xfId="0" applyFont="1" applyAlignment="1">
      <alignment vertical="center"/>
    </xf>
    <xf numFmtId="0" fontId="13" fillId="0" borderId="0" xfId="0" applyFont="1" applyFill="1" applyAlignment="1">
      <alignment vertical="center" wrapText="1"/>
    </xf>
    <xf numFmtId="0" fontId="12" fillId="2" borderId="23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37" fillId="19" borderId="26" xfId="0" applyFont="1" applyFill="1" applyBorder="1" applyAlignment="1">
      <alignment vertical="center" wrapText="1"/>
    </xf>
    <xf numFmtId="0" fontId="37" fillId="19" borderId="27" xfId="0" applyFont="1" applyFill="1" applyBorder="1" applyAlignment="1">
      <alignment horizontal="left" vertical="center"/>
    </xf>
    <xf numFmtId="0" fontId="12" fillId="0" borderId="12" xfId="0" applyFont="1" applyBorder="1" applyAlignment="1">
      <alignment horizontal="left" vertical="center" wrapText="1"/>
    </xf>
    <xf numFmtId="0" fontId="37" fillId="19" borderId="28" xfId="0" applyFont="1" applyFill="1" applyBorder="1" applyAlignment="1">
      <alignment horizontal="left" vertical="center"/>
    </xf>
    <xf numFmtId="0" fontId="12" fillId="0" borderId="29" xfId="0" applyFont="1" applyBorder="1" applyAlignment="1">
      <alignment horizontal="left" vertical="center" wrapText="1"/>
    </xf>
    <xf numFmtId="0" fontId="10" fillId="16" borderId="29" xfId="0" applyFont="1" applyFill="1" applyBorder="1" applyAlignment="1">
      <alignment horizontal="left" vertical="top" wrapText="1"/>
    </xf>
    <xf numFmtId="0" fontId="12" fillId="0" borderId="10" xfId="0" applyFont="1" applyBorder="1" applyAlignment="1">
      <alignment horizontal="left" vertical="center"/>
    </xf>
    <xf numFmtId="0" fontId="10" fillId="16" borderId="10" xfId="0" applyFont="1" applyFill="1" applyBorder="1"/>
    <xf numFmtId="0" fontId="21" fillId="15" borderId="10" xfId="0" applyFont="1" applyFill="1" applyBorder="1" applyAlignment="1">
      <alignment horizontal="left" vertical="top" wrapText="1"/>
    </xf>
    <xf numFmtId="0" fontId="12" fillId="0" borderId="30" xfId="0" applyFont="1" applyBorder="1" applyAlignment="1">
      <alignment horizontal="left" vertical="top" wrapText="1"/>
    </xf>
    <xf numFmtId="0" fontId="28" fillId="17" borderId="29" xfId="0" applyFont="1" applyFill="1" applyBorder="1" applyAlignment="1">
      <alignment horizontal="center" vertical="center" wrapText="1"/>
    </xf>
    <xf numFmtId="0" fontId="28" fillId="17" borderId="29" xfId="0" applyFont="1" applyFill="1" applyBorder="1" applyAlignment="1">
      <alignment horizontal="center" vertical="center" wrapText="1"/>
    </xf>
    <xf numFmtId="0" fontId="37" fillId="19" borderId="28" xfId="0" applyFont="1" applyFill="1" applyBorder="1" applyAlignment="1">
      <alignment horizontal="right" vertical="center"/>
    </xf>
    <xf numFmtId="0" fontId="12" fillId="5" borderId="7" xfId="0" applyFont="1" applyFill="1" applyBorder="1" applyAlignment="1">
      <alignment horizontal="right" vertical="center"/>
    </xf>
    <xf numFmtId="0" fontId="10" fillId="18" borderId="16" xfId="1" applyFont="1" applyFill="1" applyBorder="1" applyAlignment="1">
      <alignment horizontal="center" vertical="center"/>
    </xf>
    <xf numFmtId="164" fontId="37" fillId="19" borderId="31" xfId="0" applyNumberFormat="1" applyFont="1" applyFill="1" applyBorder="1" applyAlignment="1">
      <alignment horizontal="right" vertical="center"/>
    </xf>
    <xf numFmtId="164" fontId="12" fillId="7" borderId="9" xfId="0" applyNumberFormat="1" applyFont="1" applyFill="1" applyBorder="1" applyAlignment="1">
      <alignment horizontal="right" vertical="center"/>
    </xf>
    <xf numFmtId="0" fontId="21" fillId="16" borderId="29" xfId="0" applyFont="1" applyFill="1" applyBorder="1" applyAlignment="1">
      <alignment horizontal="left" vertical="top" wrapText="1"/>
    </xf>
    <xf numFmtId="0" fontId="17" fillId="0" borderId="0" xfId="0" applyFont="1" applyBorder="1" applyAlignment="1">
      <alignment horizontal="left" vertical="center" wrapText="1"/>
    </xf>
    <xf numFmtId="0" fontId="26" fillId="17" borderId="29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right"/>
    </xf>
    <xf numFmtId="0" fontId="10" fillId="16" borderId="9" xfId="1" applyFont="1" applyFill="1" applyBorder="1" applyAlignment="1">
      <alignment horizontal="center" vertical="top" wrapText="1"/>
    </xf>
    <xf numFmtId="0" fontId="8" fillId="5" borderId="6" xfId="0" applyFont="1" applyFill="1" applyBorder="1" applyAlignment="1">
      <alignment horizontal="right"/>
    </xf>
    <xf numFmtId="166" fontId="8" fillId="7" borderId="9" xfId="0" applyNumberFormat="1" applyFont="1" applyFill="1" applyBorder="1" applyAlignment="1">
      <alignment horizontal="right" vertical="top" wrapText="1"/>
    </xf>
    <xf numFmtId="0" fontId="8" fillId="4" borderId="8" xfId="0" applyFont="1" applyFill="1" applyBorder="1" applyAlignment="1">
      <alignment horizontal="right"/>
    </xf>
    <xf numFmtId="0" fontId="37" fillId="19" borderId="9" xfId="0" applyFont="1" applyFill="1" applyBorder="1" applyAlignment="1">
      <alignment horizontal="right"/>
    </xf>
    <xf numFmtId="166" fontId="37" fillId="19" borderId="32" xfId="0" applyNumberFormat="1" applyFont="1" applyFill="1" applyBorder="1" applyAlignment="1">
      <alignment horizontal="right" vertical="top" wrapText="1"/>
    </xf>
    <xf numFmtId="0" fontId="8" fillId="4" borderId="6" xfId="0" applyFont="1" applyFill="1" applyBorder="1" applyAlignment="1">
      <alignment horizontal="right"/>
    </xf>
    <xf numFmtId="166" fontId="37" fillId="19" borderId="9" xfId="0" applyNumberFormat="1" applyFont="1" applyFill="1" applyBorder="1" applyAlignment="1">
      <alignment horizontal="right" vertical="top" wrapText="1"/>
    </xf>
    <xf numFmtId="0" fontId="8" fillId="5" borderId="29" xfId="0" applyFont="1" applyFill="1" applyBorder="1" applyAlignment="1">
      <alignment horizontal="left" vertical="center"/>
    </xf>
    <xf numFmtId="0" fontId="37" fillId="19" borderId="32" xfId="0" applyFont="1" applyFill="1" applyBorder="1" applyAlignment="1">
      <alignment horizontal="left" vertical="center"/>
    </xf>
    <xf numFmtId="0" fontId="8" fillId="5" borderId="8" xfId="0" applyFont="1" applyFill="1" applyBorder="1" applyAlignment="1">
      <alignment horizontal="left" vertical="center"/>
    </xf>
    <xf numFmtId="0" fontId="37" fillId="19" borderId="33" xfId="0" applyFont="1" applyFill="1" applyBorder="1" applyAlignment="1">
      <alignment horizontal="right"/>
    </xf>
    <xf numFmtId="0" fontId="8" fillId="0" borderId="29" xfId="0" applyFont="1" applyBorder="1" applyAlignment="1">
      <alignment horizontal="left" vertical="center" wrapText="1"/>
    </xf>
    <xf numFmtId="0" fontId="8" fillId="5" borderId="13" xfId="0" applyFont="1" applyFill="1" applyBorder="1" applyAlignment="1">
      <alignment horizontal="left"/>
    </xf>
    <xf numFmtId="164" fontId="37" fillId="19" borderId="34" xfId="0" applyNumberFormat="1" applyFont="1" applyFill="1" applyBorder="1" applyAlignment="1">
      <alignment horizontal="right" vertical="center"/>
    </xf>
    <xf numFmtId="0" fontId="37" fillId="19" borderId="35" xfId="0" applyFont="1" applyFill="1" applyBorder="1" applyAlignment="1">
      <alignment horizontal="left"/>
    </xf>
    <xf numFmtId="0" fontId="31" fillId="17" borderId="20" xfId="0" applyFont="1" applyFill="1" applyBorder="1" applyAlignment="1">
      <alignment horizontal="left" vertical="center"/>
    </xf>
    <xf numFmtId="2" fontId="13" fillId="3" borderId="6" xfId="0" applyNumberFormat="1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right" vertical="center"/>
    </xf>
    <xf numFmtId="0" fontId="12" fillId="0" borderId="9" xfId="0" applyFont="1" applyBorder="1" applyAlignment="1">
      <alignment horizontal="left" vertical="center" wrapText="1"/>
    </xf>
    <xf numFmtId="164" fontId="37" fillId="19" borderId="31" xfId="0" applyNumberFormat="1" applyFont="1" applyFill="1" applyBorder="1" applyAlignment="1">
      <alignment horizontal="right" vertical="center"/>
    </xf>
    <xf numFmtId="164" fontId="13" fillId="15" borderId="9" xfId="0" applyNumberFormat="1" applyFont="1" applyFill="1" applyBorder="1" applyAlignment="1">
      <alignment horizontal="right" vertical="center" wrapText="1"/>
    </xf>
    <xf numFmtId="0" fontId="28" fillId="17" borderId="10" xfId="0" applyFont="1" applyFill="1" applyBorder="1" applyAlignment="1">
      <alignment horizontal="left" vertical="center" wrapText="1"/>
    </xf>
    <xf numFmtId="0" fontId="37" fillId="19" borderId="27" xfId="0" applyFont="1" applyFill="1" applyBorder="1" applyAlignment="1">
      <alignment horizontal="right"/>
    </xf>
    <xf numFmtId="164" fontId="37" fillId="19" borderId="31" xfId="0" applyNumberFormat="1" applyFont="1" applyFill="1" applyBorder="1" applyAlignment="1">
      <alignment horizontal="right"/>
    </xf>
    <xf numFmtId="0" fontId="21" fillId="16" borderId="9" xfId="0" applyFont="1" applyFill="1" applyBorder="1" applyAlignment="1">
      <alignment horizontal="left" vertical="center"/>
    </xf>
    <xf numFmtId="164" fontId="12" fillId="7" borderId="9" xfId="0" applyNumberFormat="1" applyFont="1" applyFill="1" applyBorder="1" applyAlignment="1">
      <alignment horizontal="right" vertical="center"/>
    </xf>
    <xf numFmtId="0" fontId="37" fillId="19" borderId="27" xfId="0" applyFont="1" applyFill="1" applyBorder="1" applyAlignment="1">
      <alignment horizontal="left"/>
    </xf>
    <xf numFmtId="0" fontId="25" fillId="16" borderId="10" xfId="0" applyFont="1" applyFill="1" applyBorder="1" applyAlignment="1">
      <alignment horizontal="left" vertical="center"/>
    </xf>
    <xf numFmtId="0" fontId="26" fillId="17" borderId="29" xfId="0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left" vertical="center"/>
    </xf>
    <xf numFmtId="10" fontId="37" fillId="19" borderId="36" xfId="0" applyNumberFormat="1" applyFont="1" applyFill="1" applyBorder="1" applyAlignment="1">
      <alignment horizontal="center" vertical="center"/>
    </xf>
    <xf numFmtId="168" fontId="13" fillId="16" borderId="9" xfId="0" applyNumberFormat="1" applyFont="1" applyFill="1" applyBorder="1" applyAlignment="1">
      <alignment horizontal="center" vertical="center"/>
    </xf>
    <xf numFmtId="164" fontId="8" fillId="7" borderId="9" xfId="0" applyNumberFormat="1" applyFont="1" applyFill="1" applyBorder="1" applyAlignment="1">
      <alignment horizontal="right" vertical="center"/>
    </xf>
    <xf numFmtId="0" fontId="13" fillId="16" borderId="10" xfId="0" applyFont="1" applyFill="1" applyBorder="1" applyAlignment="1">
      <alignment horizontal="justify" vertical="top" wrapText="1"/>
    </xf>
    <xf numFmtId="0" fontId="12" fillId="2" borderId="37" xfId="0" applyFont="1" applyFill="1" applyBorder="1" applyAlignment="1">
      <alignment horizontal="center" vertical="center"/>
    </xf>
    <xf numFmtId="0" fontId="38" fillId="15" borderId="25" xfId="0" applyFont="1" applyFill="1" applyBorder="1" applyAlignment="1">
      <alignment horizontal="center" vertical="center"/>
    </xf>
    <xf numFmtId="0" fontId="10" fillId="0" borderId="38" xfId="0" applyFont="1" applyFill="1" applyBorder="1"/>
    <xf numFmtId="0" fontId="13" fillId="0" borderId="38" xfId="0" applyFont="1" applyFill="1" applyBorder="1"/>
    <xf numFmtId="0" fontId="39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25" fillId="0" borderId="39" xfId="0" applyFont="1" applyBorder="1" applyAlignment="1">
      <alignment horizontal="right" wrapText="1"/>
    </xf>
    <xf numFmtId="0" fontId="25" fillId="0" borderId="39" xfId="0" applyFont="1" applyBorder="1" applyAlignment="1">
      <alignment horizontal="center" wrapText="1"/>
    </xf>
    <xf numFmtId="0" fontId="12" fillId="0" borderId="15" xfId="0" applyFont="1" applyBorder="1" applyAlignment="1">
      <alignment horizontal="center"/>
    </xf>
    <xf numFmtId="0" fontId="41" fillId="0" borderId="0" xfId="0" applyFont="1"/>
    <xf numFmtId="164" fontId="42" fillId="0" borderId="0" xfId="0" applyNumberFormat="1" applyFont="1" applyAlignment="1">
      <alignment horizontal="right"/>
    </xf>
    <xf numFmtId="168" fontId="42" fillId="0" borderId="0" xfId="0" applyNumberFormat="1" applyFont="1" applyAlignment="1">
      <alignment horizontal="right"/>
    </xf>
    <xf numFmtId="2" fontId="13" fillId="16" borderId="2" xfId="0" applyNumberFormat="1" applyFont="1" applyFill="1" applyBorder="1" applyAlignment="1">
      <alignment horizontal="center" vertical="center" wrapText="1"/>
    </xf>
    <xf numFmtId="0" fontId="40" fillId="0" borderId="0" xfId="1" applyFont="1" applyAlignment="1">
      <alignment horizontal="left" vertical="center" wrapText="1"/>
    </xf>
    <xf numFmtId="0" fontId="40" fillId="0" borderId="0" xfId="0" applyFont="1" applyAlignment="1">
      <alignment horizontal="center"/>
    </xf>
    <xf numFmtId="0" fontId="14" fillId="17" borderId="40" xfId="0" applyFont="1" applyFill="1" applyBorder="1" applyAlignment="1">
      <alignment horizontal="center" vertical="center" wrapText="1"/>
    </xf>
    <xf numFmtId="0" fontId="14" fillId="17" borderId="21" xfId="0" applyFont="1" applyFill="1" applyBorder="1" applyAlignment="1">
      <alignment horizontal="center" vertical="center" wrapText="1"/>
    </xf>
    <xf numFmtId="0" fontId="14" fillId="17" borderId="41" xfId="0" applyFont="1" applyFill="1" applyBorder="1" applyAlignment="1">
      <alignment horizontal="center" vertical="center" wrapText="1"/>
    </xf>
    <xf numFmtId="0" fontId="14" fillId="17" borderId="42" xfId="0" applyFont="1" applyFill="1" applyBorder="1" applyAlignment="1">
      <alignment horizontal="center" vertical="center" wrapText="1"/>
    </xf>
    <xf numFmtId="0" fontId="24" fillId="0" borderId="45" xfId="0" applyFont="1" applyBorder="1" applyAlignment="1">
      <alignment horizontal="center" wrapText="1"/>
    </xf>
    <xf numFmtId="0" fontId="24" fillId="0" borderId="46" xfId="0" applyFont="1" applyBorder="1" applyAlignment="1">
      <alignment horizontal="center" wrapText="1"/>
    </xf>
    <xf numFmtId="0" fontId="43" fillId="0" borderId="0" xfId="0" applyFont="1" applyFill="1" applyAlignment="1">
      <alignment vertical="center" wrapText="1"/>
    </xf>
    <xf numFmtId="0" fontId="38" fillId="15" borderId="25" xfId="0" applyFont="1" applyFill="1" applyBorder="1" applyAlignment="1">
      <alignment horizontal="center" vertical="center" wrapText="1"/>
    </xf>
    <xf numFmtId="164" fontId="16" fillId="15" borderId="40" xfId="0" applyNumberFormat="1" applyFont="1" applyFill="1" applyBorder="1" applyAlignment="1">
      <alignment horizontal="center" vertical="center"/>
    </xf>
    <xf numFmtId="0" fontId="16" fillId="15" borderId="40" xfId="0" applyFont="1" applyFill="1" applyBorder="1" applyAlignment="1">
      <alignment horizontal="center" vertical="center"/>
    </xf>
    <xf numFmtId="0" fontId="16" fillId="15" borderId="43" xfId="0" applyFont="1" applyFill="1" applyBorder="1" applyAlignment="1">
      <alignment horizontal="center" vertical="center"/>
    </xf>
    <xf numFmtId="0" fontId="16" fillId="15" borderId="21" xfId="0" applyFont="1" applyFill="1" applyBorder="1" applyAlignment="1">
      <alignment horizontal="center" vertical="center"/>
    </xf>
    <xf numFmtId="0" fontId="16" fillId="15" borderId="44" xfId="0" applyFont="1" applyFill="1" applyBorder="1" applyAlignment="1">
      <alignment horizontal="center" vertical="center"/>
    </xf>
    <xf numFmtId="0" fontId="25" fillId="0" borderId="46" xfId="0" applyFont="1" applyBorder="1" applyAlignment="1">
      <alignment horizontal="center" wrapText="1"/>
    </xf>
    <xf numFmtId="0" fontId="25" fillId="0" borderId="47" xfId="0" applyFont="1" applyBorder="1" applyAlignment="1">
      <alignment horizontal="center" wrapText="1"/>
    </xf>
  </cellXfs>
  <cellStyles count="2">
    <cellStyle name="Hipervínculo" xfId="1" builtinId="8"/>
    <cellStyle name="Normal" xfId="0" builtinId="0"/>
  </cellStyles>
  <dxfs count="21">
    <dxf>
      <font>
        <color rgb="FF9C3030"/>
      </font>
      <fill>
        <patternFill patternType="solid">
          <bgColor rgb="FFFFF0D2"/>
        </patternFill>
      </fill>
    </dxf>
    <dxf>
      <font>
        <color rgb="FF9C3030"/>
      </font>
      <fill>
        <patternFill patternType="solid">
          <bgColor rgb="FFFFF0D2"/>
        </patternFill>
      </fill>
    </dxf>
    <dxf>
      <font>
        <color rgb="FF9C3030"/>
      </font>
      <fill>
        <patternFill patternType="solid">
          <bgColor rgb="FFFFF0D2"/>
        </patternFill>
      </fill>
    </dxf>
    <dxf>
      <font>
        <color rgb="FF9C3030"/>
      </font>
      <fill>
        <patternFill patternType="solid">
          <bgColor rgb="FFFFF0D2"/>
        </patternFill>
      </fill>
    </dxf>
    <dxf>
      <font>
        <color rgb="FF9C3030"/>
      </font>
      <fill>
        <patternFill patternType="solid">
          <bgColor rgb="FFFFF0D2"/>
        </patternFill>
      </fill>
    </dxf>
    <dxf>
      <font>
        <color rgb="FF9C3030"/>
      </font>
      <fill>
        <patternFill patternType="solid">
          <bgColor rgb="FFFFF0D2"/>
        </patternFill>
      </fill>
    </dxf>
    <dxf>
      <font>
        <color rgb="FF9C3030"/>
      </font>
      <fill>
        <patternFill patternType="solid">
          <bgColor rgb="FFFFF0D2"/>
        </patternFill>
      </fill>
    </dxf>
    <dxf>
      <font>
        <color rgb="FF9C3030"/>
      </font>
      <fill>
        <patternFill patternType="solid">
          <bgColor rgb="FFFFF0D2"/>
        </patternFill>
      </fill>
    </dxf>
    <dxf>
      <font>
        <color rgb="FF9C3030"/>
      </font>
      <fill>
        <patternFill patternType="solid">
          <bgColor rgb="FFFFF0D2"/>
        </patternFill>
      </fill>
    </dxf>
    <dxf>
      <font>
        <color rgb="FF9C3030"/>
      </font>
      <fill>
        <patternFill patternType="solid">
          <bgColor rgb="FFFFF0D2"/>
        </patternFill>
      </fill>
    </dxf>
    <dxf>
      <font>
        <color rgb="FF9C3030"/>
      </font>
      <fill>
        <patternFill patternType="solid">
          <bgColor rgb="FFFFF0D2"/>
        </patternFill>
      </fill>
    </dxf>
    <dxf>
      <font>
        <color rgb="FF9C3030"/>
      </font>
      <fill>
        <patternFill patternType="solid">
          <bgColor rgb="FFFFF0D2"/>
        </patternFill>
      </fill>
    </dxf>
    <dxf>
      <font>
        <color rgb="FF9C3030"/>
      </font>
      <fill>
        <patternFill patternType="solid">
          <bgColor rgb="FFFFF0D2"/>
        </patternFill>
      </fill>
    </dxf>
    <dxf>
      <font>
        <color rgb="FF9C3030"/>
      </font>
      <fill>
        <patternFill patternType="solid">
          <bgColor rgb="FFFFF0D2"/>
        </patternFill>
      </fill>
    </dxf>
    <dxf>
      <font>
        <color rgb="FF9C3030"/>
      </font>
      <fill>
        <patternFill patternType="solid">
          <bgColor rgb="FFFFF0D2"/>
        </patternFill>
      </fill>
    </dxf>
    <dxf>
      <font>
        <color rgb="FF9C3030"/>
      </font>
      <fill>
        <patternFill patternType="solid">
          <bgColor rgb="FFFFF0D2"/>
        </patternFill>
      </fill>
    </dxf>
    <dxf>
      <font>
        <color rgb="FF9C3030"/>
      </font>
      <fill>
        <patternFill patternType="solid">
          <bgColor rgb="FFFFF0D2"/>
        </patternFill>
      </fill>
    </dxf>
    <dxf>
      <font>
        <color rgb="FF9C3030"/>
      </font>
      <fill>
        <patternFill patternType="solid">
          <bgColor rgb="FFFFF0D2"/>
        </patternFill>
      </fill>
    </dxf>
    <dxf>
      <font>
        <color rgb="FF9C3030"/>
      </font>
      <fill>
        <patternFill patternType="solid">
          <bgColor rgb="FFFFF0D2"/>
        </patternFill>
      </fill>
    </dxf>
    <dxf>
      <font>
        <color rgb="FF9C3030"/>
      </font>
      <fill>
        <patternFill patternType="solid">
          <bgColor rgb="FFFFF0D2"/>
        </patternFill>
      </fill>
    </dxf>
    <dxf>
      <font>
        <color rgb="FF9C3030"/>
      </font>
      <fill>
        <patternFill patternType="solid">
          <bgColor rgb="FFFFF0D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12700</xdr:rowOff>
    </xdr:from>
    <xdr:ext cx="1645920" cy="418257"/>
    <xdr:pic>
      <xdr:nvPicPr>
        <xdr:cNvPr id="2" name="90a1be7d-cabb-4b8f-8ec2-41c8a3618e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2700"/>
          <a:ext cx="1645920" cy="418257"/>
        </a:xfrm>
        <a:prstGeom prst="rect">
          <a:avLst/>
        </a:prstGeom>
      </xdr:spPr>
    </xdr:pic>
    <xdr:clientData/>
  </xdr:oneCellAnchor>
  <xdr:twoCellAnchor>
    <xdr:from>
      <xdr:col>11</xdr:col>
      <xdr:colOff>15875</xdr:colOff>
      <xdr:row>40</xdr:row>
      <xdr:rowOff>70643</xdr:rowOff>
    </xdr:from>
    <xdr:to>
      <xdr:col>11</xdr:col>
      <xdr:colOff>346075</xdr:colOff>
      <xdr:row>43</xdr:row>
      <xdr:rowOff>7143</xdr:rowOff>
    </xdr:to>
    <xdr:sp macro="" textlink="">
      <xdr:nvSpPr>
        <xdr:cNvPr id="3" name="Marca navy">
          <a:extLst>
            <a:ext uri="{FF2B5EF4-FFF2-40B4-BE49-F238E27FC236}">
              <a16:creationId xmlns:a16="http://schemas.microsoft.com/office/drawing/2014/main" id="{B3472850-1B0F-4612-B460-CA9FD93141F5}"/>
            </a:ext>
          </a:extLst>
        </xdr:cNvPr>
        <xdr:cNvSpPr/>
      </xdr:nvSpPr>
      <xdr:spPr>
        <a:xfrm>
          <a:off x="6616700" y="8814593"/>
          <a:ext cx="330200" cy="508000"/>
        </a:xfrm>
        <a:prstGeom prst="parallelogram">
          <a:avLst/>
        </a:prstGeom>
        <a:solidFill>
          <a:srgbClr val="1B2A4A"/>
        </a:solidFill>
        <a:ln w="25400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/>
        </a:p>
      </xdr:txBody>
    </xdr:sp>
    <xdr:clientData/>
  </xdr:twoCellAnchor>
  <xdr:twoCellAnchor>
    <xdr:from>
      <xdr:col>11</xdr:col>
      <xdr:colOff>346075</xdr:colOff>
      <xdr:row>41</xdr:row>
      <xdr:rowOff>57943</xdr:rowOff>
    </xdr:from>
    <xdr:to>
      <xdr:col>11</xdr:col>
      <xdr:colOff>574675</xdr:colOff>
      <xdr:row>43</xdr:row>
      <xdr:rowOff>7143</xdr:rowOff>
    </xdr:to>
    <xdr:sp macro="" textlink="">
      <xdr:nvSpPr>
        <xdr:cNvPr id="4" name="Marca rojo">
          <a:extLst>
            <a:ext uri="{FF2B5EF4-FFF2-40B4-BE49-F238E27FC236}">
              <a16:creationId xmlns:a16="http://schemas.microsoft.com/office/drawing/2014/main" id="{DD3A9729-A5FF-41EF-A507-3B2C2BB32BD8}"/>
            </a:ext>
          </a:extLst>
        </xdr:cNvPr>
        <xdr:cNvSpPr/>
      </xdr:nvSpPr>
      <xdr:spPr>
        <a:xfrm>
          <a:off x="6946900" y="8992393"/>
          <a:ext cx="228600" cy="330200"/>
        </a:xfrm>
        <a:prstGeom prst="parallelogram">
          <a:avLst/>
        </a:prstGeom>
        <a:solidFill>
          <a:srgbClr val="A4192E"/>
        </a:solidFill>
        <a:ln w="25400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12700</xdr:rowOff>
    </xdr:from>
    <xdr:ext cx="1645920" cy="418257"/>
    <xdr:pic>
      <xdr:nvPicPr>
        <xdr:cNvPr id="2" name="e7bbba22-94a0-45fb-b3d6-57befd703b5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2700"/>
          <a:ext cx="1645920" cy="41825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12700</xdr:rowOff>
    </xdr:from>
    <xdr:ext cx="1645920" cy="418257"/>
    <xdr:pic>
      <xdr:nvPicPr>
        <xdr:cNvPr id="2" name="78b1aba3-6b91-4bef-9542-363bc92d2136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2700"/>
          <a:ext cx="1645920" cy="41825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12700</xdr:rowOff>
    </xdr:from>
    <xdr:ext cx="1645920" cy="418257"/>
    <xdr:pic>
      <xdr:nvPicPr>
        <xdr:cNvPr id="2" name="4b1a8d2d-cdfe-4a2f-ab66-0d3e20087a6a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2700"/>
          <a:ext cx="1645920" cy="418257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0</xdr:row>
      <xdr:rowOff>0</xdr:rowOff>
    </xdr:from>
    <xdr:to>
      <xdr:col>14</xdr:col>
      <xdr:colOff>923925</xdr:colOff>
      <xdr:row>43</xdr:row>
      <xdr:rowOff>114300</xdr:rowOff>
    </xdr:to>
    <xdr:sp macro="" textlink="">
      <xdr:nvSpPr>
        <xdr:cNvPr id="4103" name="Text Box 7" hidden="1">
          <a:extLst>
            <a:ext uri="{FF2B5EF4-FFF2-40B4-BE49-F238E27FC236}">
              <a16:creationId xmlns:a16="http://schemas.microsoft.com/office/drawing/2014/main" id="{00000000-0008-0000-0300-0000071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923925</xdr:colOff>
      <xdr:row>43</xdr:row>
      <xdr:rowOff>114300</xdr:rowOff>
    </xdr:to>
    <xdr:sp macro="" textlink="">
      <xdr:nvSpPr>
        <xdr:cNvPr id="3" name="AutoShape 7">
          <a:extLst>
            <a:ext uri="{FF2B5EF4-FFF2-40B4-BE49-F238E27FC236}">
              <a16:creationId xmlns:a16="http://schemas.microsoft.com/office/drawing/2014/main" id="{C9852CF4-F6DD-999A-D56E-416E7B6446B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12700</xdr:rowOff>
    </xdr:from>
    <xdr:ext cx="1645920" cy="418257"/>
    <xdr:pic>
      <xdr:nvPicPr>
        <xdr:cNvPr id="2" name="72de8451-45be-4794-8afe-828a6d75ee1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2700"/>
          <a:ext cx="1645920" cy="418257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0</xdr:row>
      <xdr:rowOff>0</xdr:rowOff>
    </xdr:from>
    <xdr:to>
      <xdr:col>14</xdr:col>
      <xdr:colOff>923925</xdr:colOff>
      <xdr:row>48</xdr:row>
      <xdr:rowOff>161925</xdr:rowOff>
    </xdr:to>
    <xdr:sp macro="" textlink="">
      <xdr:nvSpPr>
        <xdr:cNvPr id="5123" name="Text Box 3" hidden="1">
          <a:extLst>
            <a:ext uri="{FF2B5EF4-FFF2-40B4-BE49-F238E27FC236}">
              <a16:creationId xmlns:a16="http://schemas.microsoft.com/office/drawing/2014/main" id="{00000000-0008-0000-0400-0000031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923925</xdr:colOff>
      <xdr:row>48</xdr:row>
      <xdr:rowOff>161925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6C54B312-B8DF-5E02-3718-BCFC61E612D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12700</xdr:rowOff>
    </xdr:from>
    <xdr:ext cx="1645920" cy="418257"/>
    <xdr:pic>
      <xdr:nvPicPr>
        <xdr:cNvPr id="2" name="92b22d57-f8bf-4e9d-91f5-273f4aa8445b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2700"/>
          <a:ext cx="1645920" cy="418257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0</xdr:row>
      <xdr:rowOff>0</xdr:rowOff>
    </xdr:from>
    <xdr:to>
      <xdr:col>14</xdr:col>
      <xdr:colOff>923925</xdr:colOff>
      <xdr:row>46</xdr:row>
      <xdr:rowOff>180975</xdr:rowOff>
    </xdr:to>
    <xdr:sp macro="" textlink="">
      <xdr:nvSpPr>
        <xdr:cNvPr id="6152" name="Text Box 8" hidden="1">
          <a:extLst>
            <a:ext uri="{FF2B5EF4-FFF2-40B4-BE49-F238E27FC236}">
              <a16:creationId xmlns:a16="http://schemas.microsoft.com/office/drawing/2014/main" id="{00000000-0008-0000-0500-000008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923925</xdr:colOff>
      <xdr:row>46</xdr:row>
      <xdr:rowOff>180975</xdr:rowOff>
    </xdr:to>
    <xdr:sp macro="" textlink="">
      <xdr:nvSpPr>
        <xdr:cNvPr id="3" name="AutoShape 8">
          <a:extLst>
            <a:ext uri="{FF2B5EF4-FFF2-40B4-BE49-F238E27FC236}">
              <a16:creationId xmlns:a16="http://schemas.microsoft.com/office/drawing/2014/main" id="{A2819BCB-2A4B-AA16-FD47-95E988C2CCD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12700</xdr:rowOff>
    </xdr:from>
    <xdr:ext cx="1645920" cy="418257"/>
    <xdr:pic>
      <xdr:nvPicPr>
        <xdr:cNvPr id="2" name="3cb0e458-42c4-4cdd-bfec-776f880b2315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2700"/>
          <a:ext cx="1645920" cy="418257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0</xdr:row>
      <xdr:rowOff>0</xdr:rowOff>
    </xdr:from>
    <xdr:to>
      <xdr:col>14</xdr:col>
      <xdr:colOff>923925</xdr:colOff>
      <xdr:row>38</xdr:row>
      <xdr:rowOff>266700</xdr:rowOff>
    </xdr:to>
    <xdr:sp macro="" textlink="">
      <xdr:nvSpPr>
        <xdr:cNvPr id="7178" name="Text Box 10" hidden="1">
          <a:extLst>
            <a:ext uri="{FF2B5EF4-FFF2-40B4-BE49-F238E27FC236}">
              <a16:creationId xmlns:a16="http://schemas.microsoft.com/office/drawing/2014/main" id="{00000000-0008-0000-0600-00000A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923925</xdr:colOff>
      <xdr:row>38</xdr:row>
      <xdr:rowOff>266700</xdr:rowOff>
    </xdr:to>
    <xdr:sp macro="" textlink="">
      <xdr:nvSpPr>
        <xdr:cNvPr id="3" name="AutoShape 10">
          <a:extLst>
            <a:ext uri="{FF2B5EF4-FFF2-40B4-BE49-F238E27FC236}">
              <a16:creationId xmlns:a16="http://schemas.microsoft.com/office/drawing/2014/main" id="{BA7A76D3-43B7-3F4A-2BDA-23C8517CCCF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12700</xdr:rowOff>
    </xdr:from>
    <xdr:ext cx="1645920" cy="418257"/>
    <xdr:pic>
      <xdr:nvPicPr>
        <xdr:cNvPr id="2" name="488cb5f3-80af-46c9-bec2-49c528f0f7b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2700"/>
          <a:ext cx="1645920" cy="418257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0</xdr:row>
      <xdr:rowOff>0</xdr:rowOff>
    </xdr:from>
    <xdr:to>
      <xdr:col>14</xdr:col>
      <xdr:colOff>923925</xdr:colOff>
      <xdr:row>38</xdr:row>
      <xdr:rowOff>266700</xdr:rowOff>
    </xdr:to>
    <xdr:sp macro="" textlink="">
      <xdr:nvSpPr>
        <xdr:cNvPr id="8202" name="Text Box 10" hidden="1">
          <a:extLst>
            <a:ext uri="{FF2B5EF4-FFF2-40B4-BE49-F238E27FC236}">
              <a16:creationId xmlns:a16="http://schemas.microsoft.com/office/drawing/2014/main" id="{00000000-0008-0000-0700-00000A2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923925</xdr:colOff>
      <xdr:row>38</xdr:row>
      <xdr:rowOff>266700</xdr:rowOff>
    </xdr:to>
    <xdr:sp macro="" textlink="">
      <xdr:nvSpPr>
        <xdr:cNvPr id="3" name="AutoShape 10">
          <a:extLst>
            <a:ext uri="{FF2B5EF4-FFF2-40B4-BE49-F238E27FC236}">
              <a16:creationId xmlns:a16="http://schemas.microsoft.com/office/drawing/2014/main" id="{D6C73415-8E2E-4196-4C30-B2D7A4AC185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12700</xdr:rowOff>
    </xdr:from>
    <xdr:ext cx="1645920" cy="418257"/>
    <xdr:pic>
      <xdr:nvPicPr>
        <xdr:cNvPr id="2" name="0aa731da-8c4e-4e93-a17d-39db4a4a537f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2700"/>
          <a:ext cx="1645920" cy="418257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0</xdr:row>
      <xdr:rowOff>0</xdr:rowOff>
    </xdr:from>
    <xdr:to>
      <xdr:col>14</xdr:col>
      <xdr:colOff>923925</xdr:colOff>
      <xdr:row>45</xdr:row>
      <xdr:rowOff>238125</xdr:rowOff>
    </xdr:to>
    <xdr:sp macro="" textlink="">
      <xdr:nvSpPr>
        <xdr:cNvPr id="9226" name="Text Box 10" hidden="1">
          <a:extLst>
            <a:ext uri="{FF2B5EF4-FFF2-40B4-BE49-F238E27FC236}">
              <a16:creationId xmlns:a16="http://schemas.microsoft.com/office/drawing/2014/main" id="{00000000-0008-0000-0800-00000A2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923925</xdr:colOff>
      <xdr:row>45</xdr:row>
      <xdr:rowOff>238125</xdr:rowOff>
    </xdr:to>
    <xdr:sp macro="" textlink="">
      <xdr:nvSpPr>
        <xdr:cNvPr id="3" name="AutoShape 10">
          <a:extLst>
            <a:ext uri="{FF2B5EF4-FFF2-40B4-BE49-F238E27FC236}">
              <a16:creationId xmlns:a16="http://schemas.microsoft.com/office/drawing/2014/main" id="{2F461FC1-3438-5011-DE4D-0F2BDECC290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12700</xdr:rowOff>
    </xdr:from>
    <xdr:ext cx="1645920" cy="418257"/>
    <xdr:pic>
      <xdr:nvPicPr>
        <xdr:cNvPr id="2" name="d1fbdf87-dca5-4cbe-9cf8-2e940d55d2b8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2700"/>
          <a:ext cx="1645920" cy="418257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0</xdr:row>
      <xdr:rowOff>0</xdr:rowOff>
    </xdr:from>
    <xdr:to>
      <xdr:col>14</xdr:col>
      <xdr:colOff>923925</xdr:colOff>
      <xdr:row>45</xdr:row>
      <xdr:rowOff>123825</xdr:rowOff>
    </xdr:to>
    <xdr:sp macro="" textlink="">
      <xdr:nvSpPr>
        <xdr:cNvPr id="10243" name="Text Box 3" hidden="1">
          <a:extLst>
            <a:ext uri="{FF2B5EF4-FFF2-40B4-BE49-F238E27FC236}">
              <a16:creationId xmlns:a16="http://schemas.microsoft.com/office/drawing/2014/main" id="{00000000-0008-0000-0900-0000032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923925</xdr:colOff>
      <xdr:row>45</xdr:row>
      <xdr:rowOff>123825</xdr:rowOff>
    </xdr:to>
    <xdr:sp macro="" textlink="">
      <xdr:nvSpPr>
        <xdr:cNvPr id="3" name="AutoShape 3">
          <a:extLst>
            <a:ext uri="{FF2B5EF4-FFF2-40B4-BE49-F238E27FC236}">
              <a16:creationId xmlns:a16="http://schemas.microsoft.com/office/drawing/2014/main" id="{709FC29E-466B-9815-9F2D-AF2164EB903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12700</xdr:rowOff>
    </xdr:from>
    <xdr:ext cx="1645920" cy="418257"/>
    <xdr:pic>
      <xdr:nvPicPr>
        <xdr:cNvPr id="2" name="edcaa5e1-01c8-4d03-ad0a-780e863b5802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2700"/>
          <a:ext cx="1645920" cy="418257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0</xdr:row>
      <xdr:rowOff>0</xdr:rowOff>
    </xdr:from>
    <xdr:to>
      <xdr:col>14</xdr:col>
      <xdr:colOff>923925</xdr:colOff>
      <xdr:row>41</xdr:row>
      <xdr:rowOff>47625</xdr:rowOff>
    </xdr:to>
    <xdr:sp macro="" textlink="">
      <xdr:nvSpPr>
        <xdr:cNvPr id="11269" name="Text Box 5" hidden="1">
          <a:extLst>
            <a:ext uri="{FF2B5EF4-FFF2-40B4-BE49-F238E27FC236}">
              <a16:creationId xmlns:a16="http://schemas.microsoft.com/office/drawing/2014/main" id="{00000000-0008-0000-0A00-000005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923925</xdr:colOff>
      <xdr:row>41</xdr:row>
      <xdr:rowOff>47625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145484E2-3D0A-64B9-4811-94A938347C7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12700</xdr:rowOff>
    </xdr:from>
    <xdr:ext cx="1645920" cy="418257"/>
    <xdr:pic>
      <xdr:nvPicPr>
        <xdr:cNvPr id="2" name="55201400-1855-4f6a-ad85-a542afa4d007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2700"/>
          <a:ext cx="1645920" cy="418257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0</xdr:row>
      <xdr:rowOff>0</xdr:rowOff>
    </xdr:from>
    <xdr:to>
      <xdr:col>14</xdr:col>
      <xdr:colOff>923925</xdr:colOff>
      <xdr:row>57</xdr:row>
      <xdr:rowOff>28575</xdr:rowOff>
    </xdr:to>
    <xdr:sp macro="" textlink="">
      <xdr:nvSpPr>
        <xdr:cNvPr id="12290" name="Text Box 2" hidden="1">
          <a:extLst>
            <a:ext uri="{FF2B5EF4-FFF2-40B4-BE49-F238E27FC236}">
              <a16:creationId xmlns:a16="http://schemas.microsoft.com/office/drawing/2014/main" id="{00000000-0008-0000-0B00-0000023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923925</xdr:colOff>
      <xdr:row>57</xdr:row>
      <xdr:rowOff>28575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9C6013D6-A302-CA7A-3897-D82D6B0CB1C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91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4B96339-7356-4F43-A50A-27959CB5B387}">
  <we:reference id="wa200009404" version="1.0.0.8" store="es-ES" storeType="OMEX"/>
  <we:alternateReferences>
    <we:reference id="WA200009404" version="1.0.0.8" store="" storeType="OMEX"/>
  </we:alternateReferences>
  <we:properties>
    <we:property name="claude.fileId" value="&quot;3ca55b0e-5b3d-4ef0-956c-ffa14185666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13F33"/>
    <pageSetUpPr fitToPage="1"/>
  </sheetPr>
  <dimension ref="A1:U115"/>
  <sheetViews>
    <sheetView showGridLines="0" topLeftCell="A20" zoomScaleNormal="100" workbookViewId="0">
      <selection activeCell="E36" sqref="E36:L37"/>
    </sheetView>
  </sheetViews>
  <sheetFormatPr baseColWidth="10" defaultColWidth="9.140625" defaultRowHeight="15" x14ac:dyDescent="0.25"/>
  <cols>
    <col min="1" max="12" width="9" customWidth="1"/>
    <col min="13" max="13" width="3" customWidth="1"/>
    <col min="14" max="21" width="18" customWidth="1"/>
  </cols>
  <sheetData>
    <row r="1" spans="1:2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N1" s="2"/>
      <c r="O1" s="2"/>
      <c r="P1" s="2"/>
      <c r="Q1" s="2"/>
      <c r="R1" s="2"/>
      <c r="S1" s="2"/>
      <c r="T1" s="2"/>
      <c r="U1" s="2"/>
    </row>
    <row r="2" spans="1:21" ht="18" customHeight="1" x14ac:dyDescent="0.25">
      <c r="A2" s="1"/>
      <c r="B2" s="1"/>
      <c r="C2" s="4"/>
      <c r="D2" s="4"/>
      <c r="E2" s="4"/>
      <c r="F2" s="4"/>
      <c r="G2" s="4"/>
      <c r="H2" s="4"/>
      <c r="I2" s="5"/>
      <c r="J2" s="5"/>
      <c r="K2" s="5"/>
      <c r="L2" s="5"/>
      <c r="N2" s="2"/>
      <c r="O2" s="2"/>
      <c r="P2" s="2"/>
      <c r="Q2" s="2"/>
      <c r="R2" s="2"/>
      <c r="S2" s="2"/>
      <c r="T2" s="2"/>
      <c r="U2" s="2"/>
    </row>
    <row r="3" spans="1:21" ht="12" customHeight="1" x14ac:dyDescent="0.25">
      <c r="A3" s="1"/>
      <c r="B3" s="1"/>
      <c r="C3" s="6"/>
      <c r="D3" s="6"/>
      <c r="E3" s="6"/>
      <c r="F3" s="6"/>
      <c r="G3" s="6"/>
      <c r="H3" s="6"/>
      <c r="I3" s="5"/>
      <c r="J3" s="5"/>
      <c r="K3" s="5"/>
      <c r="L3" s="5"/>
      <c r="N3" s="2"/>
      <c r="O3" s="2"/>
      <c r="P3" s="2"/>
      <c r="Q3" s="2"/>
      <c r="R3" s="2"/>
      <c r="S3" s="2"/>
      <c r="T3" s="2"/>
      <c r="U3" s="2"/>
    </row>
    <row r="4" spans="1:21" ht="8.1" customHeight="1" thickBot="1" x14ac:dyDescent="0.3">
      <c r="A4" s="350"/>
      <c r="B4" s="350"/>
      <c r="C4" s="350"/>
      <c r="D4" s="26"/>
      <c r="E4" s="26"/>
      <c r="F4" s="26"/>
      <c r="G4" s="26"/>
      <c r="H4" s="26"/>
      <c r="I4" s="26"/>
      <c r="J4" s="26"/>
      <c r="K4" s="26"/>
      <c r="L4" s="26"/>
      <c r="N4" s="2"/>
      <c r="O4" s="2"/>
      <c r="P4" s="2"/>
      <c r="Q4" s="2"/>
      <c r="R4" s="2"/>
      <c r="S4" s="2"/>
      <c r="T4" s="2"/>
      <c r="U4" s="2"/>
    </row>
    <row r="5" spans="1:21" ht="3" customHeight="1" x14ac:dyDescent="0.2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N5" s="7"/>
      <c r="O5" s="2"/>
      <c r="P5" s="2"/>
      <c r="Q5" s="2"/>
      <c r="R5" s="2"/>
      <c r="S5" s="2"/>
      <c r="T5" s="2"/>
      <c r="U5" s="2"/>
    </row>
    <row r="6" spans="1:21" ht="8.1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N6" s="7"/>
      <c r="O6" s="2"/>
      <c r="P6" s="2"/>
      <c r="Q6" s="2"/>
      <c r="R6" s="2"/>
      <c r="S6" s="2"/>
      <c r="T6" s="2"/>
      <c r="U6" s="2"/>
    </row>
    <row r="7" spans="1:21" ht="8.1" customHeight="1" x14ac:dyDescent="0.25">
      <c r="A7" s="287"/>
      <c r="B7" s="287"/>
      <c r="C7" s="287"/>
      <c r="D7" s="287"/>
      <c r="E7" s="287"/>
      <c r="F7" s="287"/>
      <c r="G7" s="287"/>
      <c r="H7" s="287"/>
      <c r="I7" s="287"/>
      <c r="J7" s="287"/>
      <c r="K7" s="287"/>
      <c r="L7" s="287"/>
      <c r="N7" s="2"/>
      <c r="O7" s="2"/>
      <c r="P7" s="2"/>
      <c r="Q7" s="2"/>
      <c r="R7" s="2"/>
      <c r="S7" s="2"/>
      <c r="T7" s="2"/>
      <c r="U7" s="2"/>
    </row>
    <row r="8" spans="1:21" ht="8.1" customHeight="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N8" s="2"/>
      <c r="O8" s="2"/>
      <c r="P8" s="2"/>
      <c r="Q8" s="2"/>
      <c r="R8" s="2"/>
      <c r="S8" s="2"/>
      <c r="T8" s="2"/>
      <c r="U8" s="2"/>
    </row>
    <row r="9" spans="1:21" ht="8.1" customHeight="1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N9" s="2"/>
      <c r="O9" s="2"/>
      <c r="P9" s="2"/>
      <c r="Q9" s="2"/>
      <c r="R9" s="2"/>
      <c r="S9" s="2"/>
      <c r="T9" s="2"/>
      <c r="U9" s="2"/>
    </row>
    <row r="10" spans="1:21" ht="38.1" customHeight="1" x14ac:dyDescent="0.25">
      <c r="A10" s="10" t="s">
        <v>0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N10" s="2"/>
      <c r="O10" s="2"/>
      <c r="P10" s="2"/>
      <c r="Q10" s="2"/>
      <c r="R10" s="2"/>
      <c r="S10" s="2"/>
      <c r="T10" s="2"/>
      <c r="U10" s="2"/>
    </row>
    <row r="11" spans="1:21" ht="8.1" customHeight="1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N11" s="2"/>
      <c r="O11" s="2"/>
      <c r="P11" s="2"/>
      <c r="Q11" s="2"/>
      <c r="R11" s="2"/>
      <c r="S11" s="2"/>
      <c r="T11" s="2"/>
      <c r="U11" s="2"/>
    </row>
    <row r="12" spans="1:21" ht="21.95" customHeight="1" x14ac:dyDescent="0.25">
      <c r="A12" s="12" t="str">
        <f>IF('2. Antecedentes'!E13="","",'2. Antecedentes'!E13&amp;IF('2. Antecedentes'!Q11&lt;&gt;""," en "&amp;LOWER('2. Antecedentes'!Q11),""))</f>
        <v/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N12" s="2"/>
      <c r="O12" s="2"/>
      <c r="P12" s="2"/>
      <c r="Q12" s="2"/>
      <c r="R12" s="2"/>
      <c r="S12" s="2"/>
      <c r="T12" s="2"/>
      <c r="U12" s="2"/>
    </row>
    <row r="13" spans="1:21" ht="8.1" customHeight="1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N13" s="2"/>
      <c r="O13" s="2"/>
      <c r="P13" s="2"/>
      <c r="Q13" s="2"/>
      <c r="R13" s="2"/>
      <c r="S13" s="2"/>
      <c r="T13" s="2"/>
      <c r="U13" s="2"/>
    </row>
    <row r="14" spans="1:21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N14" s="2"/>
      <c r="O14" s="2"/>
      <c r="P14" s="2"/>
      <c r="Q14" s="2"/>
      <c r="R14" s="2"/>
      <c r="S14" s="2"/>
      <c r="T14" s="2"/>
      <c r="U14" s="2"/>
    </row>
    <row r="15" spans="1:21" ht="15" customHeight="1" x14ac:dyDescent="0.25">
      <c r="A15" s="349" t="s">
        <v>1</v>
      </c>
      <c r="B15" s="290"/>
      <c r="C15" s="13"/>
      <c r="D15" s="13"/>
      <c r="E15" s="13"/>
      <c r="F15" s="13"/>
      <c r="G15" s="13"/>
      <c r="H15" s="13"/>
      <c r="I15" s="13"/>
      <c r="J15" s="13"/>
      <c r="K15" s="13"/>
      <c r="L15" s="13"/>
      <c r="N15" s="2"/>
      <c r="O15" s="2"/>
      <c r="P15" s="2"/>
      <c r="Q15" s="2"/>
      <c r="R15" s="2"/>
      <c r="S15" s="2"/>
      <c r="T15" s="2"/>
      <c r="U15" s="2"/>
    </row>
    <row r="16" spans="1:21" ht="15" customHeight="1" x14ac:dyDescent="0.25">
      <c r="A16" s="291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N16" s="2"/>
      <c r="O16" s="2"/>
      <c r="P16" s="2"/>
      <c r="Q16" s="2"/>
      <c r="R16" s="2"/>
      <c r="S16" s="2"/>
      <c r="T16" s="2"/>
      <c r="U16" s="2"/>
    </row>
    <row r="17" spans="1:21" ht="15" customHeight="1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N17" s="2"/>
      <c r="O17" s="2"/>
      <c r="P17" s="2"/>
      <c r="Q17" s="2"/>
      <c r="R17" s="2"/>
      <c r="S17" s="2"/>
      <c r="T17" s="2"/>
      <c r="U17" s="2"/>
    </row>
    <row r="18" spans="1:21" ht="15" customHeight="1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N18" s="2"/>
      <c r="O18" s="2"/>
      <c r="P18" s="2"/>
      <c r="Q18" s="2"/>
      <c r="R18" s="2"/>
      <c r="S18" s="2"/>
      <c r="T18" s="2"/>
      <c r="U18" s="2"/>
    </row>
    <row r="19" spans="1:21" ht="15" customHeight="1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N19" s="2"/>
      <c r="O19" s="2"/>
      <c r="P19" s="2"/>
      <c r="Q19" s="2"/>
      <c r="R19" s="2"/>
      <c r="S19" s="2"/>
      <c r="T19" s="2"/>
      <c r="U19" s="2"/>
    </row>
    <row r="20" spans="1:21" ht="69" customHeight="1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N20" s="2"/>
      <c r="O20" s="2"/>
      <c r="P20" s="2"/>
      <c r="Q20" s="2"/>
      <c r="R20" s="2"/>
      <c r="S20" s="2"/>
      <c r="T20" s="2"/>
      <c r="U20" s="2"/>
    </row>
    <row r="21" spans="1:21" ht="15" customHeight="1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N21" s="2"/>
      <c r="O21" s="2"/>
      <c r="P21" s="2"/>
      <c r="Q21" s="2"/>
      <c r="R21" s="2"/>
      <c r="S21" s="2"/>
      <c r="T21" s="2"/>
      <c r="U21" s="2"/>
    </row>
    <row r="22" spans="1:21" ht="15" customHeight="1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N22" s="2"/>
      <c r="O22" s="2"/>
      <c r="P22" s="2"/>
      <c r="Q22" s="2"/>
      <c r="R22" s="2"/>
      <c r="S22" s="2"/>
      <c r="T22" s="2"/>
      <c r="U22" s="2"/>
    </row>
    <row r="23" spans="1:21" ht="15" customHeight="1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N23" s="2"/>
      <c r="O23" s="2"/>
      <c r="P23" s="2"/>
      <c r="Q23" s="2"/>
      <c r="R23" s="2"/>
      <c r="S23" s="2"/>
      <c r="T23" s="2"/>
      <c r="U23" s="2"/>
    </row>
    <row r="24" spans="1:21" ht="15" customHeight="1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N24" s="2"/>
      <c r="O24" s="2"/>
      <c r="P24" s="2"/>
      <c r="Q24" s="2"/>
      <c r="R24" s="2"/>
      <c r="S24" s="2"/>
      <c r="T24" s="2"/>
      <c r="U24" s="2"/>
    </row>
    <row r="25" spans="1:21" ht="15" customHeight="1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N25" s="2"/>
      <c r="O25" s="2"/>
      <c r="P25" s="2"/>
      <c r="Q25" s="2"/>
      <c r="R25" s="2"/>
      <c r="S25" s="2"/>
      <c r="T25" s="2"/>
      <c r="U25" s="2"/>
    </row>
    <row r="26" spans="1:21" ht="15" customHeight="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N26" s="2"/>
      <c r="O26" s="2"/>
      <c r="P26" s="2"/>
      <c r="Q26" s="2"/>
      <c r="R26" s="2"/>
      <c r="S26" s="2"/>
      <c r="T26" s="2"/>
      <c r="U26" s="2"/>
    </row>
    <row r="27" spans="1:21" ht="6" customHeight="1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N27" s="2"/>
      <c r="O27" s="2"/>
      <c r="P27" s="2"/>
      <c r="Q27" s="2"/>
      <c r="R27" s="2"/>
      <c r="S27" s="2"/>
      <c r="T27" s="2"/>
      <c r="U27" s="2"/>
    </row>
    <row r="28" spans="1:21" ht="17.100000000000001" customHeight="1" x14ac:dyDescent="0.25">
      <c r="A28" s="14" t="s">
        <v>2</v>
      </c>
      <c r="B28" s="14"/>
      <c r="C28" s="14"/>
      <c r="D28" s="14"/>
      <c r="E28" s="15" t="str">
        <f>IF('2. Antecedentes'!Q9="","",'2. Antecedentes'!Q9)</f>
        <v/>
      </c>
      <c r="F28" s="16"/>
      <c r="G28" s="16"/>
      <c r="H28" s="16"/>
      <c r="I28" s="16"/>
      <c r="J28" s="16"/>
      <c r="K28" s="16"/>
      <c r="L28" s="16"/>
      <c r="N28" s="2"/>
      <c r="O28" s="2"/>
      <c r="P28" s="2"/>
      <c r="Q28" s="2"/>
      <c r="R28" s="2"/>
      <c r="S28" s="2"/>
      <c r="T28" s="2"/>
      <c r="U28" s="2"/>
    </row>
    <row r="29" spans="1:21" ht="17.100000000000001" customHeight="1" x14ac:dyDescent="0.25">
      <c r="A29" s="14" t="s">
        <v>3</v>
      </c>
      <c r="B29" s="14"/>
      <c r="C29" s="14"/>
      <c r="D29" s="14"/>
      <c r="E29" s="17" t="str">
        <f>IF('2. Antecedentes'!Q10="","",'2. Antecedentes'!Q10)</f>
        <v/>
      </c>
      <c r="F29" s="18"/>
      <c r="G29" s="18"/>
      <c r="H29" s="18"/>
      <c r="I29" s="18"/>
      <c r="J29" s="18"/>
      <c r="K29" s="18"/>
      <c r="L29" s="18"/>
      <c r="N29" s="2"/>
      <c r="O29" s="2"/>
      <c r="P29" s="2"/>
      <c r="Q29" s="2"/>
      <c r="R29" s="2"/>
      <c r="S29" s="2"/>
      <c r="T29" s="2"/>
      <c r="U29" s="2"/>
    </row>
    <row r="30" spans="1:21" ht="17.100000000000001" customHeight="1" x14ac:dyDescent="0.25">
      <c r="A30" s="14" t="s">
        <v>4</v>
      </c>
      <c r="B30" s="14"/>
      <c r="C30" s="14"/>
      <c r="D30" s="14"/>
      <c r="E30" s="15" t="str">
        <f>IF('2. Antecedentes'!E10="","",'2. Antecedentes'!E10)</f>
        <v/>
      </c>
      <c r="F30" s="16"/>
      <c r="G30" s="16"/>
      <c r="H30" s="16"/>
      <c r="I30" s="16"/>
      <c r="J30" s="16"/>
      <c r="K30" s="16"/>
      <c r="L30" s="16"/>
      <c r="N30" s="2"/>
      <c r="O30" s="2"/>
      <c r="P30" s="2"/>
      <c r="Q30" s="2"/>
      <c r="R30" s="2"/>
      <c r="S30" s="2"/>
      <c r="T30" s="2"/>
      <c r="U30" s="2"/>
    </row>
    <row r="31" spans="1:21" ht="17.100000000000001" customHeight="1" x14ac:dyDescent="0.25">
      <c r="A31" s="14" t="s">
        <v>5</v>
      </c>
      <c r="B31" s="14"/>
      <c r="C31" s="14"/>
      <c r="D31" s="14"/>
      <c r="E31" s="15" t="str">
        <f>IF('2. Antecedentes'!E12="","",'2. Antecedentes'!E12)</f>
        <v/>
      </c>
      <c r="F31" s="16"/>
      <c r="G31" s="16"/>
      <c r="H31" s="16"/>
      <c r="I31" s="16"/>
      <c r="J31" s="16"/>
      <c r="K31" s="16"/>
      <c r="L31" s="16"/>
      <c r="N31" s="2"/>
      <c r="O31" s="2"/>
      <c r="P31" s="2"/>
      <c r="Q31" s="2"/>
      <c r="R31" s="2"/>
      <c r="S31" s="2"/>
      <c r="T31" s="2"/>
      <c r="U31" s="2"/>
    </row>
    <row r="32" spans="1:21" ht="17.100000000000001" customHeight="1" x14ac:dyDescent="0.25">
      <c r="A32" s="14" t="s">
        <v>6</v>
      </c>
      <c r="B32" s="14"/>
      <c r="C32" s="14"/>
      <c r="D32" s="14"/>
      <c r="E32" s="15" t="str">
        <f>IF('2. Antecedentes'!E13="","",'2. Antecedentes'!E13)</f>
        <v/>
      </c>
      <c r="F32" s="16"/>
      <c r="G32" s="16"/>
      <c r="H32" s="16"/>
      <c r="I32" s="16"/>
      <c r="J32" s="16"/>
      <c r="K32" s="16"/>
      <c r="L32" s="16"/>
      <c r="N32" s="2"/>
      <c r="O32" s="2"/>
      <c r="P32" s="2"/>
      <c r="Q32" s="2"/>
      <c r="R32" s="2"/>
      <c r="S32" s="2"/>
      <c r="T32" s="2"/>
      <c r="U32" s="2"/>
    </row>
    <row r="33" spans="1:21" ht="27.95" customHeight="1" x14ac:dyDescent="0.25">
      <c r="A33" s="14" t="s">
        <v>7</v>
      </c>
      <c r="B33" s="14"/>
      <c r="C33" s="14"/>
      <c r="D33" s="14"/>
      <c r="E33" s="15" t="str">
        <f>IF('2. Antecedentes'!E17="","",'2. Antecedentes'!E17)</f>
        <v/>
      </c>
      <c r="F33" s="16"/>
      <c r="G33" s="16"/>
      <c r="H33" s="16"/>
      <c r="I33" s="16"/>
      <c r="J33" s="16"/>
      <c r="K33" s="16"/>
      <c r="L33" s="16"/>
      <c r="N33" s="2"/>
      <c r="O33" s="2"/>
      <c r="P33" s="2"/>
      <c r="Q33" s="2"/>
      <c r="R33" s="2"/>
      <c r="S33" s="2"/>
      <c r="T33" s="2"/>
      <c r="U33" s="2"/>
    </row>
    <row r="34" spans="1:21" ht="27.95" customHeight="1" x14ac:dyDescent="0.25">
      <c r="A34" s="14" t="s">
        <v>8</v>
      </c>
      <c r="B34" s="14"/>
      <c r="C34" s="14"/>
      <c r="D34" s="14"/>
      <c r="E34" s="15" t="str">
        <f>IF('2. Antecedentes'!E22="","",'2. Antecedentes'!E22)</f>
        <v/>
      </c>
      <c r="F34" s="16"/>
      <c r="G34" s="16"/>
      <c r="H34" s="16"/>
      <c r="I34" s="16"/>
      <c r="J34" s="16"/>
      <c r="K34" s="16"/>
      <c r="L34" s="16"/>
      <c r="N34" s="2"/>
      <c r="O34" s="2"/>
      <c r="P34" s="2"/>
      <c r="Q34" s="2"/>
      <c r="R34" s="2"/>
      <c r="S34" s="2"/>
      <c r="T34" s="2"/>
      <c r="U34" s="2"/>
    </row>
    <row r="35" spans="1:21" ht="6" customHeight="1" thickBot="1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N35" s="2"/>
      <c r="O35" s="2"/>
      <c r="P35" s="2"/>
      <c r="Q35" s="2"/>
      <c r="R35" s="2"/>
      <c r="S35" s="2"/>
      <c r="T35" s="2"/>
      <c r="U35" s="2"/>
    </row>
    <row r="36" spans="1:21" ht="15.95" customHeight="1" x14ac:dyDescent="0.25">
      <c r="A36" s="365" t="s">
        <v>9</v>
      </c>
      <c r="B36" s="363"/>
      <c r="C36" s="363"/>
      <c r="D36" s="363"/>
      <c r="E36" s="371" t="str">
        <f>IF(ISNUMBER('9. Conciliación'!I16),'9. Conciliación'!I16,"Pendiente")</f>
        <v>Pendiente</v>
      </c>
      <c r="F36" s="372"/>
      <c r="G36" s="372"/>
      <c r="H36" s="372"/>
      <c r="I36" s="372"/>
      <c r="J36" s="372"/>
      <c r="K36" s="372"/>
      <c r="L36" s="373"/>
      <c r="N36" s="2"/>
      <c r="O36" s="2"/>
      <c r="P36" s="2"/>
      <c r="Q36" s="2"/>
      <c r="R36" s="2"/>
      <c r="S36" s="2"/>
      <c r="T36" s="2"/>
      <c r="U36" s="2"/>
    </row>
    <row r="37" spans="1:21" ht="15.95" customHeight="1" x14ac:dyDescent="0.25">
      <c r="A37" s="366"/>
      <c r="B37" s="364"/>
      <c r="C37" s="364"/>
      <c r="D37" s="364"/>
      <c r="E37" s="374"/>
      <c r="F37" s="374"/>
      <c r="G37" s="374"/>
      <c r="H37" s="374"/>
      <c r="I37" s="374"/>
      <c r="J37" s="374"/>
      <c r="K37" s="374"/>
      <c r="L37" s="375"/>
      <c r="N37" s="2"/>
      <c r="O37" s="2"/>
      <c r="P37" s="2"/>
      <c r="Q37" s="2"/>
      <c r="R37" s="2"/>
      <c r="S37" s="2"/>
      <c r="T37" s="2"/>
      <c r="U37" s="2"/>
    </row>
    <row r="38" spans="1:21" ht="24" customHeight="1" thickBot="1" x14ac:dyDescent="0.3">
      <c r="A38" s="367" t="str">
        <f>IF(ISNUMBER('9. Conciliación'!I16),"("&amp;'9. Conciliación'!Q26&amp;")","")</f>
        <v/>
      </c>
      <c r="B38" s="368"/>
      <c r="C38" s="368"/>
      <c r="D38" s="368"/>
      <c r="E38" s="376"/>
      <c r="F38" s="376"/>
      <c r="G38" s="376"/>
      <c r="H38" s="376"/>
      <c r="I38" s="376"/>
      <c r="J38" s="376"/>
      <c r="K38" s="376"/>
      <c r="L38" s="377"/>
      <c r="N38" s="2"/>
      <c r="O38" s="2"/>
      <c r="P38" s="2"/>
      <c r="Q38" s="2"/>
      <c r="R38" s="2"/>
      <c r="S38" s="2"/>
      <c r="T38" s="2"/>
      <c r="U38" s="2"/>
    </row>
    <row r="39" spans="1:2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N39" s="2"/>
      <c r="O39" s="2"/>
      <c r="P39" s="2"/>
      <c r="Q39" s="2"/>
      <c r="R39" s="2"/>
      <c r="S39" s="2"/>
      <c r="T39" s="2"/>
      <c r="U39" s="2"/>
    </row>
    <row r="40" spans="1:21" ht="26.1" customHeight="1" x14ac:dyDescent="0.25">
      <c r="A40" s="19" t="s">
        <v>204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N40" s="2"/>
      <c r="O40" s="2"/>
      <c r="P40" s="2"/>
      <c r="Q40" s="2"/>
      <c r="R40" s="2"/>
      <c r="S40" s="2"/>
      <c r="T40" s="2"/>
      <c r="U40" s="2"/>
    </row>
    <row r="41" spans="1:21" ht="8.1" customHeight="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N41" s="2"/>
      <c r="O41" s="2"/>
      <c r="P41" s="2"/>
      <c r="Q41" s="2"/>
      <c r="R41" s="2"/>
      <c r="S41" s="2"/>
      <c r="T41" s="2"/>
      <c r="U41" s="2"/>
    </row>
    <row r="42" spans="1:21" x14ac:dyDescent="0.25">
      <c r="A42" s="369" t="str">
        <f>""</f>
        <v>BORRADOR: documento en elaboración, sin validez para el cliente</v>
      </c>
      <c r="B42" s="289"/>
      <c r="C42" s="289"/>
      <c r="D42" s="289"/>
      <c r="E42" s="289"/>
      <c r="F42" s="289"/>
      <c r="G42" s="289"/>
      <c r="H42" s="289"/>
      <c r="I42" s="289"/>
      <c r="J42" s="289"/>
      <c r="K42" s="289"/>
      <c r="L42" s="289"/>
      <c r="N42" s="2"/>
      <c r="O42" s="2"/>
      <c r="P42" s="2"/>
      <c r="Q42" s="2"/>
      <c r="R42" s="2"/>
      <c r="S42" s="2"/>
      <c r="T42" s="2"/>
      <c r="U42" s="2"/>
    </row>
    <row r="43" spans="1:21" x14ac:dyDescent="0.2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N43" s="2"/>
      <c r="O43" s="2"/>
      <c r="P43" s="2"/>
      <c r="Q43" s="2"/>
      <c r="R43" s="2"/>
      <c r="S43" s="2"/>
      <c r="T43" s="2"/>
      <c r="U43" s="2"/>
    </row>
    <row r="44" spans="1:2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N44" s="2"/>
      <c r="O44" s="2"/>
      <c r="P44" s="2"/>
      <c r="Q44" s="2"/>
      <c r="R44" s="2"/>
      <c r="S44" s="2"/>
      <c r="T44" s="2"/>
      <c r="U44" s="2"/>
    </row>
    <row r="45" spans="1:2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N45" s="2"/>
      <c r="O45" s="2"/>
      <c r="P45" s="2"/>
      <c r="Q45" s="2"/>
      <c r="R45" s="2"/>
      <c r="S45" s="2"/>
      <c r="T45" s="2"/>
      <c r="U45" s="2"/>
    </row>
    <row r="46" spans="1:2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N46" s="2"/>
      <c r="O46" s="2"/>
      <c r="P46" s="2"/>
      <c r="Q46" s="2"/>
      <c r="R46" s="2"/>
      <c r="S46" s="2"/>
      <c r="T46" s="2"/>
      <c r="U46" s="2"/>
    </row>
    <row r="47" spans="1:2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N47" s="2"/>
      <c r="O47" s="2"/>
      <c r="P47" s="2"/>
      <c r="Q47" s="2"/>
      <c r="R47" s="2"/>
      <c r="S47" s="2"/>
      <c r="T47" s="2"/>
      <c r="U47" s="2"/>
    </row>
    <row r="48" spans="1:2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N48" s="2"/>
      <c r="O48" s="2"/>
      <c r="P48" s="2"/>
      <c r="Q48" s="2"/>
      <c r="R48" s="2"/>
      <c r="S48" s="2"/>
      <c r="T48" s="2"/>
      <c r="U48" s="2"/>
    </row>
    <row r="49" spans="1:2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N49" s="2"/>
      <c r="O49" s="2"/>
      <c r="P49" s="2"/>
      <c r="Q49" s="2"/>
      <c r="R49" s="2"/>
      <c r="S49" s="2"/>
      <c r="T49" s="2"/>
      <c r="U49" s="2"/>
    </row>
    <row r="50" spans="1:2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N50" s="2"/>
      <c r="O50" s="2"/>
      <c r="P50" s="2"/>
      <c r="Q50" s="2"/>
      <c r="R50" s="2"/>
      <c r="S50" s="2"/>
      <c r="T50" s="2"/>
      <c r="U50" s="2"/>
    </row>
    <row r="51" spans="1:2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N51" s="2"/>
      <c r="O51" s="2"/>
      <c r="P51" s="2"/>
      <c r="Q51" s="2"/>
      <c r="R51" s="2"/>
      <c r="S51" s="2"/>
      <c r="T51" s="2"/>
      <c r="U51" s="2"/>
    </row>
    <row r="52" spans="1:2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N52" s="2"/>
      <c r="O52" s="2"/>
      <c r="P52" s="2"/>
      <c r="Q52" s="2"/>
      <c r="R52" s="2"/>
      <c r="S52" s="2"/>
      <c r="T52" s="2"/>
      <c r="U52" s="2"/>
    </row>
    <row r="53" spans="1:2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N53" s="2"/>
      <c r="O53" s="2"/>
      <c r="P53" s="2"/>
      <c r="Q53" s="2"/>
      <c r="R53" s="2"/>
      <c r="S53" s="2"/>
      <c r="T53" s="2"/>
      <c r="U53" s="2"/>
    </row>
    <row r="54" spans="1:2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N54" s="2"/>
      <c r="O54" s="2"/>
      <c r="P54" s="2"/>
      <c r="Q54" s="2"/>
      <c r="R54" s="2"/>
      <c r="S54" s="2"/>
      <c r="T54" s="2"/>
      <c r="U54" s="2"/>
    </row>
    <row r="55" spans="1:2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N55" s="2"/>
      <c r="O55" s="2"/>
      <c r="P55" s="2"/>
      <c r="Q55" s="2"/>
      <c r="R55" s="2"/>
      <c r="S55" s="2"/>
      <c r="T55" s="2"/>
      <c r="U55" s="2"/>
    </row>
    <row r="56" spans="1:2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N56" s="2"/>
      <c r="O56" s="2"/>
      <c r="P56" s="2"/>
      <c r="Q56" s="2"/>
      <c r="R56" s="2"/>
      <c r="S56" s="2"/>
      <c r="T56" s="2"/>
      <c r="U56" s="2"/>
    </row>
    <row r="57" spans="1:2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N57" s="2"/>
      <c r="O57" s="2"/>
      <c r="P57" s="2"/>
      <c r="Q57" s="2"/>
      <c r="R57" s="2"/>
      <c r="S57" s="2"/>
      <c r="T57" s="2"/>
      <c r="U57" s="2"/>
    </row>
    <row r="58" spans="1:2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N58" s="2"/>
      <c r="O58" s="2"/>
      <c r="P58" s="2"/>
      <c r="Q58" s="2"/>
      <c r="R58" s="2"/>
      <c r="S58" s="2"/>
      <c r="T58" s="2"/>
      <c r="U58" s="2"/>
    </row>
    <row r="59" spans="1:2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N59" s="2"/>
      <c r="O59" s="2"/>
      <c r="P59" s="2"/>
      <c r="Q59" s="2"/>
      <c r="R59" s="2"/>
      <c r="S59" s="2"/>
      <c r="T59" s="2"/>
      <c r="U59" s="2"/>
    </row>
    <row r="60" spans="1:2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N60" s="2"/>
      <c r="O60" s="2"/>
      <c r="P60" s="2"/>
      <c r="Q60" s="2"/>
      <c r="R60" s="2"/>
      <c r="S60" s="2"/>
      <c r="T60" s="2"/>
      <c r="U60" s="2"/>
    </row>
    <row r="61" spans="1:21" x14ac:dyDescent="0.25">
      <c r="N61" s="2"/>
      <c r="O61" s="2"/>
      <c r="P61" s="2"/>
      <c r="Q61" s="2"/>
      <c r="R61" s="2"/>
      <c r="S61" s="2"/>
      <c r="T61" s="2"/>
      <c r="U61" s="2"/>
    </row>
    <row r="62" spans="1:21" x14ac:dyDescent="0.25">
      <c r="N62" s="2"/>
      <c r="O62" s="2"/>
      <c r="P62" s="2"/>
      <c r="Q62" s="2"/>
      <c r="R62" s="2"/>
      <c r="S62" s="2"/>
      <c r="T62" s="2"/>
      <c r="U62" s="2"/>
    </row>
    <row r="63" spans="1:21" x14ac:dyDescent="0.25">
      <c r="N63" s="2"/>
      <c r="O63" s="2"/>
      <c r="P63" s="2"/>
      <c r="Q63" s="2"/>
      <c r="R63" s="2"/>
      <c r="S63" s="2"/>
      <c r="T63" s="2"/>
      <c r="U63" s="2"/>
    </row>
    <row r="64" spans="1:21" x14ac:dyDescent="0.25">
      <c r="N64" s="2"/>
      <c r="O64" s="2"/>
      <c r="P64" s="2"/>
      <c r="Q64" s="2"/>
      <c r="R64" s="2"/>
      <c r="S64" s="2"/>
      <c r="T64" s="2"/>
      <c r="U64" s="2"/>
    </row>
    <row r="65" spans="14:21" x14ac:dyDescent="0.25">
      <c r="N65" s="2"/>
      <c r="O65" s="2"/>
      <c r="P65" s="2"/>
      <c r="Q65" s="2"/>
      <c r="R65" s="2"/>
      <c r="S65" s="2"/>
      <c r="T65" s="2"/>
      <c r="U65" s="2"/>
    </row>
    <row r="66" spans="14:21" x14ac:dyDescent="0.25">
      <c r="N66" s="2"/>
      <c r="O66" s="2"/>
      <c r="P66" s="2"/>
      <c r="Q66" s="2"/>
      <c r="R66" s="2"/>
      <c r="S66" s="2"/>
      <c r="T66" s="2"/>
      <c r="U66" s="2"/>
    </row>
    <row r="67" spans="14:21" x14ac:dyDescent="0.25">
      <c r="N67" s="2"/>
      <c r="O67" s="2"/>
      <c r="P67" s="2"/>
      <c r="Q67" s="2"/>
      <c r="R67" s="2"/>
      <c r="S67" s="2"/>
      <c r="T67" s="2"/>
      <c r="U67" s="2"/>
    </row>
    <row r="68" spans="14:21" x14ac:dyDescent="0.25">
      <c r="N68" s="2"/>
      <c r="O68" s="2"/>
      <c r="P68" s="2"/>
      <c r="Q68" s="2"/>
      <c r="R68" s="2"/>
      <c r="S68" s="2"/>
      <c r="T68" s="2"/>
      <c r="U68" s="2"/>
    </row>
    <row r="69" spans="14:21" x14ac:dyDescent="0.25">
      <c r="N69" s="2"/>
      <c r="O69" s="2"/>
      <c r="P69" s="2"/>
      <c r="Q69" s="2"/>
      <c r="R69" s="2"/>
      <c r="S69" s="2"/>
      <c r="T69" s="2"/>
      <c r="U69" s="2"/>
    </row>
    <row r="70" spans="14:21" x14ac:dyDescent="0.25">
      <c r="N70" s="2"/>
      <c r="O70" s="2"/>
      <c r="P70" s="2"/>
      <c r="Q70" s="2"/>
      <c r="R70" s="2"/>
      <c r="S70" s="2"/>
      <c r="T70" s="2"/>
      <c r="U70" s="2"/>
    </row>
    <row r="71" spans="14:21" x14ac:dyDescent="0.25">
      <c r="N71" s="2"/>
      <c r="O71" s="2"/>
      <c r="P71" s="2"/>
      <c r="Q71" s="2"/>
      <c r="R71" s="2"/>
      <c r="S71" s="2"/>
      <c r="T71" s="2"/>
      <c r="U71" s="2"/>
    </row>
    <row r="72" spans="14:21" x14ac:dyDescent="0.25">
      <c r="N72" s="2"/>
      <c r="O72" s="2"/>
      <c r="P72" s="2"/>
      <c r="Q72" s="2"/>
      <c r="R72" s="2"/>
      <c r="S72" s="2"/>
      <c r="T72" s="2"/>
      <c r="U72" s="2"/>
    </row>
    <row r="73" spans="14:21" x14ac:dyDescent="0.25">
      <c r="N73" s="2"/>
      <c r="O73" s="2"/>
      <c r="P73" s="2"/>
      <c r="Q73" s="2"/>
      <c r="R73" s="2"/>
      <c r="S73" s="2"/>
      <c r="T73" s="2"/>
      <c r="U73" s="2"/>
    </row>
    <row r="74" spans="14:21" x14ac:dyDescent="0.25">
      <c r="N74" s="2"/>
      <c r="O74" s="2"/>
      <c r="P74" s="2"/>
      <c r="Q74" s="2"/>
      <c r="R74" s="2"/>
      <c r="S74" s="2"/>
      <c r="T74" s="2"/>
      <c r="U74" s="2"/>
    </row>
    <row r="75" spans="14:21" x14ac:dyDescent="0.25">
      <c r="N75" s="2"/>
      <c r="O75" s="2"/>
      <c r="P75" s="2"/>
      <c r="Q75" s="2"/>
      <c r="R75" s="2"/>
      <c r="S75" s="2"/>
      <c r="T75" s="2"/>
      <c r="U75" s="2"/>
    </row>
    <row r="76" spans="14:21" x14ac:dyDescent="0.25">
      <c r="N76" s="2"/>
      <c r="O76" s="2"/>
      <c r="P76" s="2"/>
      <c r="Q76" s="2"/>
      <c r="R76" s="2"/>
      <c r="S76" s="2"/>
      <c r="T76" s="2"/>
      <c r="U76" s="2"/>
    </row>
    <row r="77" spans="14:21" x14ac:dyDescent="0.25">
      <c r="N77" s="2"/>
      <c r="O77" s="2"/>
      <c r="P77" s="2"/>
      <c r="Q77" s="2"/>
      <c r="R77" s="2"/>
      <c r="S77" s="2"/>
      <c r="T77" s="2"/>
      <c r="U77" s="2"/>
    </row>
    <row r="78" spans="14:21" x14ac:dyDescent="0.25">
      <c r="N78" s="2"/>
      <c r="O78" s="2"/>
      <c r="P78" s="2"/>
      <c r="Q78" s="2"/>
      <c r="R78" s="2"/>
      <c r="S78" s="2"/>
      <c r="T78" s="2"/>
      <c r="U78" s="2"/>
    </row>
    <row r="79" spans="14:21" x14ac:dyDescent="0.25">
      <c r="N79" s="2"/>
      <c r="O79" s="2"/>
      <c r="P79" s="2"/>
      <c r="Q79" s="2"/>
      <c r="R79" s="2"/>
      <c r="S79" s="2"/>
      <c r="T79" s="2"/>
      <c r="U79" s="2"/>
    </row>
    <row r="80" spans="14:21" x14ac:dyDescent="0.25">
      <c r="N80" s="2"/>
      <c r="O80" s="2"/>
      <c r="P80" s="2"/>
      <c r="Q80" s="2"/>
      <c r="R80" s="2"/>
      <c r="S80" s="2"/>
      <c r="T80" s="2"/>
      <c r="U80" s="2"/>
    </row>
    <row r="81" spans="14:21" x14ac:dyDescent="0.25">
      <c r="N81" s="2"/>
      <c r="O81" s="2"/>
      <c r="P81" s="2"/>
      <c r="Q81" s="2"/>
      <c r="R81" s="2"/>
      <c r="S81" s="2"/>
      <c r="T81" s="2"/>
      <c r="U81" s="2"/>
    </row>
    <row r="82" spans="14:21" x14ac:dyDescent="0.25">
      <c r="N82" s="2"/>
      <c r="O82" s="2"/>
      <c r="P82" s="2"/>
      <c r="Q82" s="2"/>
      <c r="R82" s="2"/>
      <c r="S82" s="2"/>
      <c r="T82" s="2"/>
      <c r="U82" s="2"/>
    </row>
    <row r="83" spans="14:21" x14ac:dyDescent="0.25">
      <c r="N83" s="2"/>
      <c r="O83" s="2"/>
      <c r="P83" s="2"/>
      <c r="Q83" s="2"/>
      <c r="R83" s="2"/>
      <c r="S83" s="2"/>
      <c r="T83" s="2"/>
      <c r="U83" s="2"/>
    </row>
    <row r="84" spans="14:21" x14ac:dyDescent="0.25">
      <c r="N84" s="2"/>
      <c r="O84" s="2"/>
      <c r="P84" s="2"/>
      <c r="Q84" s="2"/>
      <c r="R84" s="2"/>
      <c r="S84" s="2"/>
      <c r="T84" s="2"/>
      <c r="U84" s="2"/>
    </row>
    <row r="85" spans="14:21" x14ac:dyDescent="0.25">
      <c r="N85" s="2"/>
      <c r="O85" s="2"/>
      <c r="P85" s="2"/>
      <c r="Q85" s="2"/>
      <c r="R85" s="2"/>
      <c r="S85" s="2"/>
      <c r="T85" s="2"/>
      <c r="U85" s="2"/>
    </row>
    <row r="86" spans="14:21" x14ac:dyDescent="0.25">
      <c r="N86" s="2"/>
      <c r="O86" s="2"/>
      <c r="P86" s="2"/>
      <c r="Q86" s="2"/>
      <c r="R86" s="2"/>
      <c r="S86" s="2"/>
      <c r="T86" s="2"/>
      <c r="U86" s="2"/>
    </row>
    <row r="87" spans="14:21" x14ac:dyDescent="0.25">
      <c r="N87" s="2"/>
      <c r="O87" s="2"/>
      <c r="P87" s="2"/>
      <c r="Q87" s="2"/>
      <c r="R87" s="2"/>
      <c r="S87" s="2"/>
      <c r="T87" s="2"/>
      <c r="U87" s="2"/>
    </row>
    <row r="88" spans="14:21" x14ac:dyDescent="0.25">
      <c r="N88" s="2"/>
      <c r="O88" s="2"/>
      <c r="P88" s="2"/>
      <c r="Q88" s="2"/>
      <c r="R88" s="2"/>
      <c r="S88" s="2"/>
      <c r="T88" s="2"/>
      <c r="U88" s="2"/>
    </row>
    <row r="89" spans="14:21" x14ac:dyDescent="0.25">
      <c r="N89" s="2"/>
      <c r="O89" s="2"/>
      <c r="P89" s="2"/>
      <c r="Q89" s="2"/>
      <c r="R89" s="2"/>
      <c r="S89" s="2"/>
      <c r="T89" s="2"/>
      <c r="U89" s="2"/>
    </row>
    <row r="90" spans="14:21" x14ac:dyDescent="0.25">
      <c r="N90" s="2"/>
      <c r="O90" s="2"/>
      <c r="P90" s="2"/>
      <c r="Q90" s="2"/>
      <c r="R90" s="2"/>
      <c r="S90" s="2"/>
      <c r="T90" s="2"/>
      <c r="U90" s="2"/>
    </row>
    <row r="91" spans="14:21" x14ac:dyDescent="0.25">
      <c r="N91" s="2"/>
      <c r="O91" s="2"/>
      <c r="P91" s="2"/>
      <c r="Q91" s="2"/>
      <c r="R91" s="2"/>
      <c r="S91" s="2"/>
      <c r="T91" s="2"/>
      <c r="U91" s="2"/>
    </row>
    <row r="92" spans="14:21" x14ac:dyDescent="0.25">
      <c r="N92" s="2"/>
      <c r="O92" s="2"/>
      <c r="P92" s="2"/>
      <c r="Q92" s="2"/>
      <c r="R92" s="2"/>
      <c r="S92" s="2"/>
      <c r="T92" s="2"/>
      <c r="U92" s="2"/>
    </row>
    <row r="93" spans="14:21" x14ac:dyDescent="0.25">
      <c r="N93" s="2"/>
      <c r="O93" s="2"/>
      <c r="P93" s="2"/>
      <c r="Q93" s="2"/>
      <c r="R93" s="2"/>
      <c r="S93" s="2"/>
      <c r="T93" s="2"/>
      <c r="U93" s="2"/>
    </row>
    <row r="94" spans="14:21" x14ac:dyDescent="0.25">
      <c r="N94" s="2"/>
      <c r="O94" s="2"/>
      <c r="P94" s="2"/>
      <c r="Q94" s="2"/>
      <c r="R94" s="2"/>
      <c r="S94" s="2"/>
      <c r="T94" s="2"/>
      <c r="U94" s="2"/>
    </row>
    <row r="95" spans="14:21" x14ac:dyDescent="0.25">
      <c r="N95" s="2"/>
      <c r="O95" s="2"/>
      <c r="P95" s="2"/>
      <c r="Q95" s="2"/>
      <c r="R95" s="2"/>
      <c r="S95" s="2"/>
      <c r="T95" s="2"/>
      <c r="U95" s="2"/>
    </row>
    <row r="96" spans="14:21" x14ac:dyDescent="0.25">
      <c r="N96" s="2"/>
      <c r="O96" s="2"/>
      <c r="P96" s="2"/>
      <c r="Q96" s="2"/>
      <c r="R96" s="2"/>
      <c r="S96" s="2"/>
      <c r="T96" s="2"/>
      <c r="U96" s="2"/>
    </row>
    <row r="97" spans="14:21" x14ac:dyDescent="0.25">
      <c r="N97" s="2"/>
      <c r="O97" s="2"/>
      <c r="P97" s="2"/>
      <c r="Q97" s="2"/>
      <c r="R97" s="2"/>
      <c r="S97" s="2"/>
      <c r="T97" s="2"/>
      <c r="U97" s="2"/>
    </row>
    <row r="98" spans="14:21" x14ac:dyDescent="0.25">
      <c r="N98" s="2"/>
      <c r="O98" s="2"/>
      <c r="P98" s="2"/>
      <c r="Q98" s="2"/>
      <c r="R98" s="2"/>
      <c r="S98" s="2"/>
      <c r="T98" s="2"/>
      <c r="U98" s="2"/>
    </row>
    <row r="99" spans="14:21" x14ac:dyDescent="0.25">
      <c r="N99" s="2"/>
      <c r="O99" s="2"/>
      <c r="P99" s="2"/>
      <c r="Q99" s="2"/>
      <c r="R99" s="2"/>
      <c r="S99" s="2"/>
      <c r="T99" s="2"/>
      <c r="U99" s="2"/>
    </row>
    <row r="100" spans="14:21" x14ac:dyDescent="0.25">
      <c r="N100" s="2"/>
      <c r="O100" s="2"/>
      <c r="P100" s="2"/>
      <c r="Q100" s="2"/>
      <c r="R100" s="2"/>
      <c r="S100" s="2"/>
      <c r="T100" s="2"/>
      <c r="U100" s="2"/>
    </row>
    <row r="101" spans="14:21" x14ac:dyDescent="0.25">
      <c r="N101" s="2"/>
      <c r="O101" s="2"/>
      <c r="P101" s="2"/>
      <c r="Q101" s="2"/>
      <c r="R101" s="2"/>
      <c r="S101" s="2"/>
      <c r="T101" s="2"/>
      <c r="U101" s="2"/>
    </row>
    <row r="102" spans="14:21" x14ac:dyDescent="0.25">
      <c r="N102" s="2"/>
      <c r="O102" s="2"/>
      <c r="P102" s="2"/>
      <c r="Q102" s="2"/>
      <c r="R102" s="2"/>
      <c r="S102" s="2"/>
      <c r="T102" s="2"/>
      <c r="U102" s="2"/>
    </row>
    <row r="103" spans="14:21" x14ac:dyDescent="0.25">
      <c r="N103" s="2"/>
      <c r="O103" s="2"/>
      <c r="P103" s="2"/>
      <c r="Q103" s="2"/>
      <c r="R103" s="2"/>
      <c r="S103" s="2"/>
      <c r="T103" s="2"/>
      <c r="U103" s="2"/>
    </row>
    <row r="104" spans="14:21" x14ac:dyDescent="0.25">
      <c r="N104" s="2"/>
      <c r="O104" s="2"/>
      <c r="P104" s="2"/>
      <c r="Q104" s="2"/>
      <c r="R104" s="2"/>
      <c r="S104" s="2"/>
      <c r="T104" s="2"/>
      <c r="U104" s="2"/>
    </row>
    <row r="105" spans="14:21" x14ac:dyDescent="0.25">
      <c r="N105" s="2"/>
      <c r="O105" s="2"/>
      <c r="P105" s="2"/>
      <c r="Q105" s="2"/>
      <c r="R105" s="2"/>
      <c r="S105" s="2"/>
      <c r="T105" s="2"/>
      <c r="U105" s="2"/>
    </row>
    <row r="106" spans="14:21" x14ac:dyDescent="0.25">
      <c r="N106" s="2"/>
      <c r="O106" s="2"/>
      <c r="P106" s="2"/>
      <c r="Q106" s="2"/>
      <c r="R106" s="2"/>
      <c r="S106" s="2"/>
      <c r="T106" s="2"/>
      <c r="U106" s="2"/>
    </row>
    <row r="107" spans="14:21" x14ac:dyDescent="0.25">
      <c r="N107" s="2"/>
      <c r="O107" s="2"/>
      <c r="P107" s="2"/>
      <c r="Q107" s="2"/>
      <c r="R107" s="2"/>
      <c r="S107" s="2"/>
      <c r="T107" s="2"/>
      <c r="U107" s="2"/>
    </row>
    <row r="108" spans="14:21" x14ac:dyDescent="0.25">
      <c r="N108" s="2"/>
      <c r="O108" s="2"/>
      <c r="P108" s="2"/>
      <c r="Q108" s="2"/>
      <c r="R108" s="2"/>
      <c r="S108" s="2"/>
      <c r="T108" s="2"/>
      <c r="U108" s="2"/>
    </row>
    <row r="109" spans="14:21" x14ac:dyDescent="0.25">
      <c r="N109" s="2"/>
      <c r="O109" s="2"/>
      <c r="P109" s="2"/>
      <c r="Q109" s="2"/>
      <c r="R109" s="2"/>
      <c r="S109" s="2"/>
      <c r="T109" s="2"/>
      <c r="U109" s="2"/>
    </row>
    <row r="110" spans="14:21" x14ac:dyDescent="0.25">
      <c r="N110" s="2"/>
      <c r="O110" s="2"/>
      <c r="P110" s="2"/>
      <c r="Q110" s="2"/>
      <c r="R110" s="2"/>
      <c r="S110" s="2"/>
      <c r="T110" s="2"/>
      <c r="U110" s="2"/>
    </row>
    <row r="111" spans="14:21" x14ac:dyDescent="0.25">
      <c r="N111" s="2"/>
      <c r="O111" s="2"/>
      <c r="P111" s="2"/>
      <c r="Q111" s="2"/>
      <c r="R111" s="2"/>
      <c r="S111" s="2"/>
      <c r="T111" s="2"/>
      <c r="U111" s="2"/>
    </row>
    <row r="112" spans="14:21" x14ac:dyDescent="0.25">
      <c r="N112" s="2"/>
      <c r="O112" s="2"/>
      <c r="P112" s="2"/>
      <c r="Q112" s="2"/>
      <c r="R112" s="2"/>
      <c r="S112" s="2"/>
      <c r="T112" s="2"/>
      <c r="U112" s="2"/>
    </row>
    <row r="113" spans="14:21" x14ac:dyDescent="0.25">
      <c r="N113" s="2"/>
      <c r="O113" s="2"/>
      <c r="P113" s="2"/>
      <c r="Q113" s="2"/>
      <c r="R113" s="2"/>
      <c r="S113" s="2"/>
      <c r="T113" s="2"/>
      <c r="U113" s="2"/>
    </row>
    <row r="114" spans="14:21" x14ac:dyDescent="0.25">
      <c r="N114" s="2"/>
      <c r="O114" s="2"/>
      <c r="P114" s="2"/>
      <c r="Q114" s="2"/>
      <c r="R114" s="2"/>
      <c r="S114" s="2"/>
      <c r="T114" s="2"/>
      <c r="U114" s="2"/>
    </row>
    <row r="115" spans="14:21" x14ac:dyDescent="0.25">
      <c r="N115" s="2"/>
      <c r="O115" s="2"/>
      <c r="P115" s="2"/>
      <c r="Q115" s="2"/>
      <c r="R115" s="2"/>
      <c r="S115" s="2"/>
      <c r="T115" s="2"/>
      <c r="U115" s="2"/>
    </row>
  </sheetData>
  <mergeCells count="26">
    <mergeCell ref="A32:D32"/>
    <mergeCell ref="E32:L32"/>
    <mergeCell ref="A40:L40"/>
    <mergeCell ref="A33:D33"/>
    <mergeCell ref="E33:L33"/>
    <mergeCell ref="A34:D34"/>
    <mergeCell ref="E34:L34"/>
    <mergeCell ref="A36:D37"/>
    <mergeCell ref="E36:L37"/>
    <mergeCell ref="A38:L38"/>
    <mergeCell ref="A42:L43"/>
    <mergeCell ref="C2:H2"/>
    <mergeCell ref="I2:L3"/>
    <mergeCell ref="C3:H3"/>
    <mergeCell ref="A5:L5"/>
    <mergeCell ref="A10:L10"/>
    <mergeCell ref="A12:L12"/>
    <mergeCell ref="A15:L26"/>
    <mergeCell ref="A28:D28"/>
    <mergeCell ref="E28:L28"/>
    <mergeCell ref="A29:D29"/>
    <mergeCell ref="E29:L29"/>
    <mergeCell ref="A30:D30"/>
    <mergeCell ref="E30:L30"/>
    <mergeCell ref="A31:D31"/>
    <mergeCell ref="E31:L31"/>
  </mergeCells>
  <printOptions horizontalCentered="1"/>
  <pageMargins left="0.28000000000000003" right="0.28000000000000003" top="0.4" bottom="0.5" header="0.25" footer="0.25"/>
  <pageSetup scale="93" orientation="portrait" r:id="rId1"/>
  <headerFooter>
    <oddFooter>&amp;C&amp;"Arial"&amp;8&amp;K6B7280&amp;P/&amp;F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6B4E"/>
    <pageSetUpPr fitToPage="1"/>
  </sheetPr>
  <dimension ref="A1:U115"/>
  <sheetViews>
    <sheetView showGridLines="0" zoomScaleNormal="100" workbookViewId="0">
      <selection activeCell="B22" sqref="B22:L24"/>
    </sheetView>
  </sheetViews>
  <sheetFormatPr baseColWidth="10" defaultColWidth="9.140625" defaultRowHeight="15" x14ac:dyDescent="0.25"/>
  <cols>
    <col min="1" max="12" width="9" customWidth="1"/>
    <col min="13" max="13" width="3" customWidth="1"/>
    <col min="14" max="21" width="18" customWidth="1"/>
  </cols>
  <sheetData>
    <row r="1" spans="1:2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N1" s="2"/>
      <c r="O1" s="2"/>
      <c r="P1" s="2"/>
      <c r="Q1" s="2"/>
      <c r="R1" s="2"/>
      <c r="S1" s="2"/>
      <c r="T1" s="2"/>
      <c r="U1" s="2"/>
    </row>
    <row r="2" spans="1:21" ht="18" customHeight="1" x14ac:dyDescent="0.25">
      <c r="A2" s="11"/>
      <c r="B2" s="11"/>
      <c r="C2" s="21"/>
      <c r="D2" s="21"/>
      <c r="E2" s="21"/>
      <c r="F2" s="21"/>
      <c r="G2" s="21"/>
      <c r="H2" s="21"/>
      <c r="I2" s="8" t="str">
        <f>"Opinión de valor comercial"&amp;IF('2. Antecedentes'!$Q$9&lt;&gt;"",CHAR(10)&amp;"Folio "&amp;'2. Antecedentes'!$Q$9,"")</f>
        <v>Opinión de valor comercial</v>
      </c>
      <c r="J2" s="22"/>
      <c r="K2" s="22"/>
      <c r="L2" s="22"/>
      <c r="M2" s="23"/>
      <c r="N2" s="24"/>
      <c r="O2" s="24"/>
      <c r="P2" s="24"/>
      <c r="Q2" s="24"/>
      <c r="R2" s="24"/>
      <c r="S2" s="24"/>
      <c r="T2" s="24"/>
      <c r="U2" s="24"/>
    </row>
    <row r="3" spans="1:21" ht="12" customHeight="1" x14ac:dyDescent="0.25">
      <c r="A3" s="11"/>
      <c r="B3" s="11"/>
      <c r="C3" s="25"/>
      <c r="D3" s="25"/>
      <c r="E3" s="25"/>
      <c r="F3" s="25"/>
      <c r="G3" s="25"/>
      <c r="H3" s="25"/>
      <c r="I3" s="22"/>
      <c r="J3" s="22"/>
      <c r="K3" s="22"/>
      <c r="L3" s="22"/>
      <c r="M3" s="23"/>
      <c r="N3" s="24"/>
      <c r="O3" s="24"/>
      <c r="P3" s="24"/>
      <c r="Q3" s="24"/>
      <c r="R3" s="24"/>
      <c r="S3" s="24"/>
      <c r="T3" s="24"/>
      <c r="U3" s="24"/>
    </row>
    <row r="4" spans="1:21" ht="8.1" customHeight="1" thickBot="1" x14ac:dyDescent="0.3">
      <c r="A4" s="350"/>
      <c r="B4" s="350"/>
      <c r="C4" s="350"/>
      <c r="D4" s="26"/>
      <c r="E4" s="26"/>
      <c r="F4" s="26"/>
      <c r="G4" s="26"/>
      <c r="H4" s="26"/>
      <c r="I4" s="26"/>
      <c r="J4" s="26"/>
      <c r="K4" s="26"/>
      <c r="L4" s="26"/>
      <c r="M4" s="23"/>
      <c r="N4" s="24"/>
      <c r="O4" s="24"/>
      <c r="P4" s="24"/>
      <c r="Q4" s="24"/>
      <c r="R4" s="24"/>
      <c r="S4" s="24"/>
      <c r="T4" s="24"/>
      <c r="U4" s="24"/>
    </row>
    <row r="5" spans="1:21" ht="3" customHeight="1" x14ac:dyDescent="0.2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3"/>
      <c r="N5" s="11"/>
      <c r="O5" s="24"/>
      <c r="P5" s="24"/>
      <c r="Q5" s="24"/>
      <c r="R5" s="24"/>
      <c r="S5" s="24"/>
      <c r="T5" s="24"/>
      <c r="U5" s="24"/>
    </row>
    <row r="6" spans="1:21" ht="8.1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23"/>
      <c r="N6" s="11"/>
      <c r="O6" s="24"/>
      <c r="P6" s="24"/>
      <c r="Q6" s="24"/>
      <c r="R6" s="24"/>
      <c r="S6" s="24"/>
      <c r="T6" s="24"/>
      <c r="U6" s="24"/>
    </row>
    <row r="7" spans="1:21" ht="21.95" customHeight="1" x14ac:dyDescent="0.25">
      <c r="A7" s="28" t="s">
        <v>314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3"/>
      <c r="N7" s="29" t="s">
        <v>315</v>
      </c>
      <c r="O7" s="29"/>
      <c r="P7" s="29"/>
      <c r="Q7" s="29"/>
      <c r="R7" s="29"/>
      <c r="S7" s="29"/>
      <c r="T7" s="29"/>
      <c r="U7" s="29"/>
    </row>
    <row r="8" spans="1:21" ht="8.1" customHeight="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23"/>
      <c r="N8" s="24"/>
      <c r="O8" s="24"/>
      <c r="P8" s="24"/>
      <c r="Q8" s="24"/>
      <c r="R8" s="24"/>
      <c r="S8" s="24"/>
      <c r="T8" s="24"/>
      <c r="U8" s="24"/>
    </row>
    <row r="9" spans="1:21" ht="24" customHeight="1" x14ac:dyDescent="0.25">
      <c r="A9" s="30">
        <v>1</v>
      </c>
      <c r="B9" s="31" t="s">
        <v>10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23"/>
      <c r="N9" s="24"/>
      <c r="O9" s="24"/>
      <c r="P9" s="24"/>
      <c r="Q9" s="24"/>
      <c r="R9" s="24"/>
      <c r="S9" s="24"/>
      <c r="T9" s="24"/>
      <c r="U9" s="24"/>
    </row>
    <row r="10" spans="1:21" ht="24" customHeight="1" x14ac:dyDescent="0.25">
      <c r="A10" s="30">
        <v>2</v>
      </c>
      <c r="B10" s="33" t="s">
        <v>11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23"/>
      <c r="N10" s="292" t="s">
        <v>351</v>
      </c>
      <c r="O10" s="292"/>
      <c r="P10" s="292"/>
      <c r="Q10" s="292"/>
      <c r="R10" s="292"/>
      <c r="S10" s="292"/>
      <c r="T10" s="292"/>
      <c r="U10" s="292"/>
    </row>
    <row r="11" spans="1:21" ht="24" customHeight="1" x14ac:dyDescent="0.25">
      <c r="A11" s="30">
        <v>3</v>
      </c>
      <c r="B11" s="33" t="s">
        <v>12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23"/>
      <c r="N11" s="35" t="s">
        <v>205</v>
      </c>
      <c r="O11" s="35"/>
      <c r="P11" s="35"/>
      <c r="Q11" s="35"/>
      <c r="R11" s="35"/>
      <c r="S11" s="35"/>
      <c r="T11" s="35"/>
      <c r="U11" s="35"/>
    </row>
    <row r="12" spans="1:21" ht="24" customHeight="1" x14ac:dyDescent="0.25">
      <c r="A12" s="30">
        <v>4</v>
      </c>
      <c r="B12" s="33" t="s">
        <v>13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23"/>
      <c r="N12" s="35"/>
      <c r="O12" s="35"/>
      <c r="P12" s="35"/>
      <c r="Q12" s="35"/>
      <c r="R12" s="35"/>
      <c r="S12" s="35"/>
      <c r="T12" s="35"/>
      <c r="U12" s="35"/>
    </row>
    <row r="13" spans="1:21" ht="24" customHeight="1" x14ac:dyDescent="0.25">
      <c r="A13" s="30">
        <v>5</v>
      </c>
      <c r="B13" s="33" t="s">
        <v>316</v>
      </c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23"/>
      <c r="N13" s="35"/>
      <c r="O13" s="35"/>
      <c r="P13" s="35"/>
      <c r="Q13" s="35"/>
      <c r="R13" s="35"/>
      <c r="S13" s="35"/>
      <c r="T13" s="35"/>
      <c r="U13" s="35"/>
    </row>
    <row r="14" spans="1:21" ht="24" customHeight="1" x14ac:dyDescent="0.25">
      <c r="A14" s="30">
        <v>6</v>
      </c>
      <c r="B14" s="33" t="s">
        <v>317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23"/>
      <c r="N14" s="24"/>
      <c r="O14" s="24"/>
      <c r="P14" s="24"/>
      <c r="Q14" s="24"/>
      <c r="R14" s="24"/>
      <c r="S14" s="24"/>
      <c r="T14" s="24"/>
      <c r="U14" s="24"/>
    </row>
    <row r="15" spans="1:21" ht="24" customHeight="1" x14ac:dyDescent="0.25">
      <c r="A15" s="30">
        <v>7</v>
      </c>
      <c r="B15" s="33" t="s">
        <v>14</v>
      </c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23"/>
      <c r="N15" s="292" t="s">
        <v>352</v>
      </c>
      <c r="O15" s="292"/>
      <c r="P15" s="292"/>
      <c r="Q15" s="292"/>
      <c r="R15" s="292"/>
      <c r="S15" s="292"/>
      <c r="T15" s="292"/>
      <c r="U15" s="292"/>
    </row>
    <row r="16" spans="1:21" ht="24" customHeight="1" x14ac:dyDescent="0.25">
      <c r="A16" s="30">
        <v>8</v>
      </c>
      <c r="B16" s="33" t="s">
        <v>15</v>
      </c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23"/>
      <c r="N16" s="35" t="s">
        <v>206</v>
      </c>
      <c r="O16" s="35"/>
      <c r="P16" s="35"/>
      <c r="Q16" s="35"/>
      <c r="R16" s="35"/>
      <c r="S16" s="35"/>
      <c r="T16" s="35"/>
      <c r="U16" s="35"/>
    </row>
    <row r="17" spans="1:21" ht="24" customHeight="1" x14ac:dyDescent="0.25">
      <c r="A17" s="30">
        <v>9</v>
      </c>
      <c r="B17" s="33" t="s">
        <v>16</v>
      </c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23"/>
      <c r="N17" s="35"/>
      <c r="O17" s="35"/>
      <c r="P17" s="35"/>
      <c r="Q17" s="35"/>
      <c r="R17" s="35"/>
      <c r="S17" s="35"/>
      <c r="T17" s="35"/>
      <c r="U17" s="35"/>
    </row>
    <row r="18" spans="1:21" ht="24" customHeight="1" x14ac:dyDescent="0.25">
      <c r="A18" s="30">
        <v>10</v>
      </c>
      <c r="B18" s="33" t="s">
        <v>17</v>
      </c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23"/>
      <c r="N18" s="35"/>
      <c r="O18" s="35"/>
      <c r="P18" s="35"/>
      <c r="Q18" s="35"/>
      <c r="R18" s="35"/>
      <c r="S18" s="35"/>
      <c r="T18" s="35"/>
      <c r="U18" s="35"/>
    </row>
    <row r="19" spans="1:21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23"/>
      <c r="N19" s="24"/>
      <c r="O19" s="24"/>
      <c r="P19" s="24"/>
      <c r="Q19" s="24"/>
      <c r="R19" s="24"/>
      <c r="S19" s="24"/>
      <c r="T19" s="24"/>
      <c r="U19" s="24"/>
    </row>
    <row r="20" spans="1:21" ht="8.1" customHeight="1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23"/>
      <c r="N20" s="292" t="s">
        <v>353</v>
      </c>
      <c r="O20" s="292"/>
      <c r="P20" s="292"/>
      <c r="Q20" s="292"/>
      <c r="R20" s="292"/>
      <c r="S20" s="292"/>
      <c r="T20" s="292"/>
      <c r="U20" s="292"/>
    </row>
    <row r="21" spans="1:21" ht="8.1" customHeight="1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23"/>
      <c r="N21" s="35" t="s">
        <v>207</v>
      </c>
      <c r="O21" s="35"/>
      <c r="P21" s="35"/>
      <c r="Q21" s="35"/>
      <c r="R21" s="35"/>
      <c r="S21" s="35"/>
      <c r="T21" s="35"/>
      <c r="U21" s="35"/>
    </row>
    <row r="22" spans="1:21" x14ac:dyDescent="0.25">
      <c r="A22" s="11"/>
      <c r="B22" s="36" t="s">
        <v>318</v>
      </c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23"/>
      <c r="N22" s="35"/>
      <c r="O22" s="35"/>
      <c r="P22" s="35"/>
      <c r="Q22" s="35"/>
      <c r="R22" s="35"/>
      <c r="S22" s="35"/>
      <c r="T22" s="35"/>
      <c r="U22" s="35"/>
    </row>
    <row r="23" spans="1:21" x14ac:dyDescent="0.25">
      <c r="A23" s="11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23"/>
      <c r="N23" s="35"/>
      <c r="O23" s="35"/>
      <c r="P23" s="35"/>
      <c r="Q23" s="35"/>
      <c r="R23" s="35"/>
      <c r="S23" s="35"/>
      <c r="T23" s="35"/>
      <c r="U23" s="35"/>
    </row>
    <row r="24" spans="1:21" x14ac:dyDescent="0.25">
      <c r="A24" s="11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23"/>
      <c r="N24" s="24"/>
      <c r="O24" s="24"/>
      <c r="P24" s="24"/>
      <c r="Q24" s="24"/>
      <c r="R24" s="24"/>
      <c r="S24" s="24"/>
      <c r="T24" s="24"/>
      <c r="U24" s="24"/>
    </row>
    <row r="25" spans="1:21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23"/>
      <c r="N25" s="292" t="s">
        <v>354</v>
      </c>
      <c r="O25" s="292"/>
      <c r="P25" s="292"/>
      <c r="Q25" s="292"/>
      <c r="R25" s="292"/>
      <c r="S25" s="292"/>
      <c r="T25" s="292"/>
      <c r="U25" s="292"/>
    </row>
    <row r="26" spans="1:21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23"/>
      <c r="N26" s="35" t="s">
        <v>208</v>
      </c>
      <c r="O26" s="35"/>
      <c r="P26" s="35"/>
      <c r="Q26" s="35"/>
      <c r="R26" s="35"/>
      <c r="S26" s="35"/>
      <c r="T26" s="35"/>
      <c r="U26" s="35"/>
    </row>
    <row r="27" spans="1:21" x14ac:dyDescent="0.25">
      <c r="A27" s="11"/>
      <c r="B27" s="37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23"/>
      <c r="N27" s="35"/>
      <c r="O27" s="35"/>
      <c r="P27" s="35"/>
      <c r="Q27" s="35"/>
      <c r="R27" s="35"/>
      <c r="S27" s="35"/>
      <c r="T27" s="35"/>
      <c r="U27" s="35"/>
    </row>
    <row r="28" spans="1:21" x14ac:dyDescent="0.25">
      <c r="A28" s="11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23"/>
      <c r="N28" s="35"/>
      <c r="O28" s="35"/>
      <c r="P28" s="35"/>
      <c r="Q28" s="35"/>
      <c r="R28" s="35"/>
      <c r="S28" s="35"/>
      <c r="T28" s="35"/>
      <c r="U28" s="35"/>
    </row>
    <row r="29" spans="1:21" x14ac:dyDescent="0.25">
      <c r="A29" s="11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23"/>
      <c r="N29" s="24"/>
      <c r="O29" s="24"/>
      <c r="P29" s="24"/>
      <c r="Q29" s="24"/>
      <c r="R29" s="24"/>
      <c r="S29" s="24"/>
      <c r="T29" s="24"/>
      <c r="U29" s="24"/>
    </row>
    <row r="30" spans="1:21" x14ac:dyDescent="0.25">
      <c r="A30" s="11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23"/>
      <c r="N30" s="292" t="s">
        <v>355</v>
      </c>
      <c r="O30" s="292"/>
      <c r="P30" s="292"/>
      <c r="Q30" s="292"/>
      <c r="R30" s="292"/>
      <c r="S30" s="292"/>
      <c r="T30" s="292"/>
      <c r="U30" s="292"/>
    </row>
    <row r="31" spans="1:21" x14ac:dyDescent="0.2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23"/>
      <c r="N31" s="35" t="s">
        <v>209</v>
      </c>
      <c r="O31" s="35"/>
      <c r="P31" s="35"/>
      <c r="Q31" s="35"/>
      <c r="R31" s="35"/>
      <c r="S31" s="35"/>
      <c r="T31" s="35"/>
      <c r="U31" s="35"/>
    </row>
    <row r="32" spans="1:21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23"/>
      <c r="N32" s="35"/>
      <c r="O32" s="35"/>
      <c r="P32" s="35"/>
      <c r="Q32" s="35"/>
      <c r="R32" s="35"/>
      <c r="S32" s="35"/>
      <c r="T32" s="35"/>
      <c r="U32" s="35"/>
    </row>
    <row r="33" spans="1:21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23"/>
      <c r="N33" s="35"/>
      <c r="O33" s="35"/>
      <c r="P33" s="35"/>
      <c r="Q33" s="35"/>
      <c r="R33" s="35"/>
      <c r="S33" s="35"/>
      <c r="T33" s="35"/>
      <c r="U33" s="35"/>
    </row>
    <row r="34" spans="1:21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23"/>
      <c r="N34" s="24"/>
      <c r="O34" s="24"/>
      <c r="P34" s="24"/>
      <c r="Q34" s="24"/>
      <c r="R34" s="24"/>
      <c r="S34" s="24"/>
      <c r="T34" s="24"/>
      <c r="U34" s="24"/>
    </row>
    <row r="35" spans="1:21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23"/>
      <c r="N35" s="292"/>
      <c r="O35" s="292"/>
      <c r="P35" s="292"/>
      <c r="Q35" s="292"/>
      <c r="R35" s="292"/>
      <c r="S35" s="292"/>
      <c r="T35" s="292"/>
      <c r="U35" s="292"/>
    </row>
    <row r="36" spans="1:2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23"/>
      <c r="N36" s="35"/>
      <c r="O36" s="35"/>
      <c r="P36" s="35"/>
      <c r="Q36" s="35"/>
      <c r="R36" s="35"/>
      <c r="S36" s="35"/>
      <c r="T36" s="35"/>
      <c r="U36" s="35"/>
    </row>
    <row r="37" spans="1:21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23"/>
      <c r="N37" s="35"/>
      <c r="O37" s="35"/>
      <c r="P37" s="35"/>
      <c r="Q37" s="35"/>
      <c r="R37" s="35"/>
      <c r="S37" s="35"/>
      <c r="T37" s="35"/>
      <c r="U37" s="35"/>
    </row>
    <row r="38" spans="1:2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23"/>
      <c r="N38" s="35"/>
      <c r="O38" s="35"/>
      <c r="P38" s="35"/>
      <c r="Q38" s="35"/>
      <c r="R38" s="35"/>
      <c r="S38" s="35"/>
      <c r="T38" s="35"/>
      <c r="U38" s="35"/>
    </row>
    <row r="39" spans="1:2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23"/>
      <c r="N39" s="24"/>
      <c r="O39" s="24"/>
      <c r="P39" s="24"/>
      <c r="Q39" s="24"/>
      <c r="R39" s="24"/>
      <c r="S39" s="24"/>
      <c r="T39" s="24"/>
      <c r="U39" s="24"/>
    </row>
    <row r="40" spans="1:2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23"/>
      <c r="N40" s="292" t="s">
        <v>356</v>
      </c>
      <c r="O40" s="292"/>
      <c r="P40" s="292"/>
      <c r="Q40" s="292"/>
      <c r="R40" s="292"/>
      <c r="S40" s="292"/>
      <c r="T40" s="292"/>
      <c r="U40" s="292"/>
    </row>
    <row r="41" spans="1:2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23"/>
      <c r="N41" s="35" t="s">
        <v>210</v>
      </c>
      <c r="O41" s="35"/>
      <c r="P41" s="35"/>
      <c r="Q41" s="35"/>
      <c r="R41" s="35"/>
      <c r="S41" s="35"/>
      <c r="T41" s="35"/>
      <c r="U41" s="35"/>
    </row>
    <row r="42" spans="1:21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23"/>
      <c r="N42" s="35"/>
      <c r="O42" s="35"/>
      <c r="P42" s="35"/>
      <c r="Q42" s="35"/>
      <c r="R42" s="35"/>
      <c r="S42" s="35"/>
      <c r="T42" s="35"/>
      <c r="U42" s="35"/>
    </row>
    <row r="43" spans="1:2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23"/>
      <c r="N43" s="35"/>
      <c r="O43" s="35"/>
      <c r="P43" s="35"/>
      <c r="Q43" s="35"/>
      <c r="R43" s="35"/>
      <c r="S43" s="35"/>
      <c r="T43" s="35"/>
      <c r="U43" s="35"/>
    </row>
    <row r="44" spans="1:2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23"/>
      <c r="N44" s="24"/>
      <c r="O44" s="24"/>
      <c r="P44" s="24"/>
      <c r="Q44" s="24"/>
      <c r="R44" s="24"/>
      <c r="S44" s="24"/>
      <c r="T44" s="24"/>
      <c r="U44" s="24"/>
    </row>
    <row r="45" spans="1:2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23"/>
      <c r="N45" s="292" t="s">
        <v>357</v>
      </c>
      <c r="O45" s="292"/>
      <c r="P45" s="292"/>
      <c r="Q45" s="292"/>
      <c r="R45" s="292"/>
      <c r="S45" s="292"/>
      <c r="T45" s="292"/>
      <c r="U45" s="292"/>
    </row>
    <row r="46" spans="1:2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23"/>
      <c r="N46" s="35" t="s">
        <v>211</v>
      </c>
      <c r="O46" s="35"/>
      <c r="P46" s="35"/>
      <c r="Q46" s="35"/>
      <c r="R46" s="35"/>
      <c r="S46" s="35"/>
      <c r="T46" s="35"/>
      <c r="U46" s="35"/>
    </row>
    <row r="47" spans="1:2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23"/>
      <c r="N47" s="35"/>
      <c r="O47" s="35"/>
      <c r="P47" s="35"/>
      <c r="Q47" s="35"/>
      <c r="R47" s="35"/>
      <c r="S47" s="35"/>
      <c r="T47" s="35"/>
      <c r="U47" s="35"/>
    </row>
    <row r="48" spans="1:2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23"/>
      <c r="N48" s="35"/>
      <c r="O48" s="35"/>
      <c r="P48" s="35"/>
      <c r="Q48" s="35"/>
      <c r="R48" s="35"/>
      <c r="S48" s="35"/>
      <c r="T48" s="35"/>
      <c r="U48" s="35"/>
    </row>
    <row r="49" spans="1:2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N49" s="2"/>
      <c r="O49" s="2"/>
      <c r="P49" s="2"/>
      <c r="Q49" s="2"/>
      <c r="R49" s="2"/>
      <c r="S49" s="2"/>
      <c r="T49" s="2"/>
      <c r="U49" s="2"/>
    </row>
    <row r="50" spans="1:2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N50" s="2"/>
      <c r="O50" s="2"/>
      <c r="P50" s="2"/>
      <c r="Q50" s="2"/>
      <c r="R50" s="2"/>
      <c r="S50" s="2"/>
      <c r="T50" s="2"/>
      <c r="U50" s="2"/>
    </row>
    <row r="51" spans="1:2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N51" s="2"/>
      <c r="O51" s="2"/>
      <c r="P51" s="2"/>
      <c r="Q51" s="2"/>
      <c r="R51" s="2"/>
      <c r="S51" s="2"/>
      <c r="T51" s="2"/>
      <c r="U51" s="2"/>
    </row>
    <row r="52" spans="1:2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N52" s="2"/>
      <c r="O52" s="2"/>
      <c r="P52" s="2"/>
      <c r="Q52" s="2"/>
      <c r="R52" s="2"/>
      <c r="S52" s="2"/>
      <c r="T52" s="2"/>
      <c r="U52" s="2"/>
    </row>
    <row r="53" spans="1:2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N53" s="2"/>
      <c r="O53" s="2"/>
      <c r="P53" s="2"/>
      <c r="Q53" s="2"/>
      <c r="R53" s="2"/>
      <c r="S53" s="2"/>
      <c r="T53" s="2"/>
      <c r="U53" s="2"/>
    </row>
    <row r="54" spans="1:2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N54" s="2"/>
      <c r="O54" s="2"/>
      <c r="P54" s="2"/>
      <c r="Q54" s="2"/>
      <c r="R54" s="2"/>
      <c r="S54" s="2"/>
      <c r="T54" s="2"/>
      <c r="U54" s="2"/>
    </row>
    <row r="55" spans="1:2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N55" s="2"/>
      <c r="O55" s="2"/>
      <c r="P55" s="2"/>
      <c r="Q55" s="2"/>
      <c r="R55" s="2"/>
      <c r="S55" s="2"/>
      <c r="T55" s="2"/>
      <c r="U55" s="2"/>
    </row>
    <row r="56" spans="1:2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N56" s="2"/>
      <c r="O56" s="2"/>
      <c r="P56" s="2"/>
      <c r="Q56" s="2"/>
      <c r="R56" s="2"/>
      <c r="S56" s="2"/>
      <c r="T56" s="2"/>
      <c r="U56" s="2"/>
    </row>
    <row r="57" spans="1:2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N57" s="2"/>
      <c r="O57" s="2"/>
      <c r="P57" s="2"/>
      <c r="Q57" s="2"/>
      <c r="R57" s="2"/>
      <c r="S57" s="2"/>
      <c r="T57" s="2"/>
      <c r="U57" s="2"/>
    </row>
    <row r="58" spans="1:2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N58" s="2"/>
      <c r="O58" s="2"/>
      <c r="P58" s="2"/>
      <c r="Q58" s="2"/>
      <c r="R58" s="2"/>
      <c r="S58" s="2"/>
      <c r="T58" s="2"/>
      <c r="U58" s="2"/>
    </row>
    <row r="59" spans="1:2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N59" s="2"/>
      <c r="O59" s="2"/>
      <c r="P59" s="2"/>
      <c r="Q59" s="2"/>
      <c r="R59" s="2"/>
      <c r="S59" s="2"/>
      <c r="T59" s="2"/>
      <c r="U59" s="2"/>
    </row>
    <row r="60" spans="1:2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N60" s="2"/>
      <c r="O60" s="2"/>
      <c r="P60" s="2"/>
      <c r="Q60" s="2"/>
      <c r="R60" s="2"/>
      <c r="S60" s="2"/>
      <c r="T60" s="2"/>
      <c r="U60" s="2"/>
    </row>
    <row r="61" spans="1:21" x14ac:dyDescent="0.25">
      <c r="N61" s="2"/>
      <c r="O61" s="2"/>
      <c r="P61" s="2"/>
      <c r="Q61" s="2"/>
      <c r="R61" s="2"/>
      <c r="S61" s="2"/>
      <c r="T61" s="2"/>
      <c r="U61" s="2"/>
    </row>
    <row r="62" spans="1:21" x14ac:dyDescent="0.25">
      <c r="N62" s="2"/>
      <c r="O62" s="2"/>
      <c r="P62" s="2"/>
      <c r="Q62" s="2"/>
      <c r="R62" s="2"/>
      <c r="S62" s="2"/>
      <c r="T62" s="2"/>
      <c r="U62" s="2"/>
    </row>
    <row r="63" spans="1:21" x14ac:dyDescent="0.25">
      <c r="N63" s="2"/>
      <c r="O63" s="2"/>
      <c r="P63" s="2"/>
      <c r="Q63" s="2"/>
      <c r="R63" s="2"/>
      <c r="S63" s="2"/>
      <c r="T63" s="2"/>
      <c r="U63" s="2"/>
    </row>
    <row r="64" spans="1:21" x14ac:dyDescent="0.25">
      <c r="N64" s="2"/>
      <c r="O64" s="2"/>
      <c r="P64" s="2"/>
      <c r="Q64" s="2"/>
      <c r="R64" s="2"/>
      <c r="S64" s="2"/>
      <c r="T64" s="2"/>
      <c r="U64" s="2"/>
    </row>
    <row r="65" spans="14:21" x14ac:dyDescent="0.25">
      <c r="N65" s="2"/>
      <c r="O65" s="2"/>
      <c r="P65" s="2"/>
      <c r="Q65" s="2"/>
      <c r="R65" s="2"/>
      <c r="S65" s="2"/>
      <c r="T65" s="2"/>
      <c r="U65" s="2"/>
    </row>
    <row r="66" spans="14:21" x14ac:dyDescent="0.25">
      <c r="N66" s="2"/>
      <c r="O66" s="2"/>
      <c r="P66" s="2"/>
      <c r="Q66" s="2"/>
      <c r="R66" s="2"/>
      <c r="S66" s="2"/>
      <c r="T66" s="2"/>
      <c r="U66" s="2"/>
    </row>
    <row r="67" spans="14:21" x14ac:dyDescent="0.25">
      <c r="N67" s="2"/>
      <c r="O67" s="2"/>
      <c r="P67" s="2"/>
      <c r="Q67" s="2"/>
      <c r="R67" s="2"/>
      <c r="S67" s="2"/>
      <c r="T67" s="2"/>
      <c r="U67" s="2"/>
    </row>
    <row r="68" spans="14:21" x14ac:dyDescent="0.25">
      <c r="N68" s="2"/>
      <c r="O68" s="2"/>
      <c r="P68" s="2"/>
      <c r="Q68" s="2"/>
      <c r="R68" s="2"/>
      <c r="S68" s="2"/>
      <c r="T68" s="2"/>
      <c r="U68" s="2"/>
    </row>
    <row r="69" spans="14:21" x14ac:dyDescent="0.25">
      <c r="N69" s="2"/>
      <c r="O69" s="2"/>
      <c r="P69" s="2"/>
      <c r="Q69" s="2"/>
      <c r="R69" s="2"/>
      <c r="S69" s="2"/>
      <c r="T69" s="2"/>
      <c r="U69" s="2"/>
    </row>
    <row r="70" spans="14:21" x14ac:dyDescent="0.25">
      <c r="N70" s="2"/>
      <c r="O70" s="2"/>
      <c r="P70" s="2"/>
      <c r="Q70" s="2"/>
      <c r="R70" s="2"/>
      <c r="S70" s="2"/>
      <c r="T70" s="2"/>
      <c r="U70" s="2"/>
    </row>
    <row r="71" spans="14:21" x14ac:dyDescent="0.25">
      <c r="N71" s="2"/>
      <c r="O71" s="2"/>
      <c r="P71" s="2"/>
      <c r="Q71" s="2"/>
      <c r="R71" s="2"/>
      <c r="S71" s="2"/>
      <c r="T71" s="2"/>
      <c r="U71" s="2"/>
    </row>
    <row r="72" spans="14:21" x14ac:dyDescent="0.25">
      <c r="N72" s="2"/>
      <c r="O72" s="2"/>
      <c r="P72" s="2"/>
      <c r="Q72" s="2"/>
      <c r="R72" s="2"/>
      <c r="S72" s="2"/>
      <c r="T72" s="2"/>
      <c r="U72" s="2"/>
    </row>
    <row r="73" spans="14:21" x14ac:dyDescent="0.25">
      <c r="N73" s="2"/>
      <c r="O73" s="2"/>
      <c r="P73" s="2"/>
      <c r="Q73" s="2"/>
      <c r="R73" s="2"/>
      <c r="S73" s="2"/>
      <c r="T73" s="2"/>
      <c r="U73" s="2"/>
    </row>
    <row r="74" spans="14:21" x14ac:dyDescent="0.25">
      <c r="N74" s="2"/>
      <c r="O74" s="2"/>
      <c r="P74" s="2"/>
      <c r="Q74" s="2"/>
      <c r="R74" s="2"/>
      <c r="S74" s="2"/>
      <c r="T74" s="2"/>
      <c r="U74" s="2"/>
    </row>
    <row r="75" spans="14:21" x14ac:dyDescent="0.25">
      <c r="N75" s="2"/>
      <c r="O75" s="2"/>
      <c r="P75" s="2"/>
      <c r="Q75" s="2"/>
      <c r="R75" s="2"/>
      <c r="S75" s="2"/>
      <c r="T75" s="2"/>
      <c r="U75" s="2"/>
    </row>
    <row r="76" spans="14:21" x14ac:dyDescent="0.25">
      <c r="N76" s="2"/>
      <c r="O76" s="2"/>
      <c r="P76" s="2"/>
      <c r="Q76" s="2"/>
      <c r="R76" s="2"/>
      <c r="S76" s="2"/>
      <c r="T76" s="2"/>
      <c r="U76" s="2"/>
    </row>
    <row r="77" spans="14:21" x14ac:dyDescent="0.25">
      <c r="N77" s="2"/>
      <c r="O77" s="2"/>
      <c r="P77" s="2"/>
      <c r="Q77" s="2"/>
      <c r="R77" s="2"/>
      <c r="S77" s="2"/>
      <c r="T77" s="2"/>
      <c r="U77" s="2"/>
    </row>
    <row r="78" spans="14:21" x14ac:dyDescent="0.25">
      <c r="N78" s="2"/>
      <c r="O78" s="2"/>
      <c r="P78" s="2"/>
      <c r="Q78" s="2"/>
      <c r="R78" s="2"/>
      <c r="S78" s="2"/>
      <c r="T78" s="2"/>
      <c r="U78" s="2"/>
    </row>
    <row r="79" spans="14:21" x14ac:dyDescent="0.25">
      <c r="N79" s="2"/>
      <c r="O79" s="2"/>
      <c r="P79" s="2"/>
      <c r="Q79" s="2"/>
      <c r="R79" s="2"/>
      <c r="S79" s="2"/>
      <c r="T79" s="2"/>
      <c r="U79" s="2"/>
    </row>
    <row r="80" spans="14:21" x14ac:dyDescent="0.25">
      <c r="N80" s="2"/>
      <c r="O80" s="2"/>
      <c r="P80" s="2"/>
      <c r="Q80" s="2"/>
      <c r="R80" s="2"/>
      <c r="S80" s="2"/>
      <c r="T80" s="2"/>
      <c r="U80" s="2"/>
    </row>
    <row r="81" spans="14:21" x14ac:dyDescent="0.25">
      <c r="N81" s="2"/>
      <c r="O81" s="2"/>
      <c r="P81" s="2"/>
      <c r="Q81" s="2"/>
      <c r="R81" s="2"/>
      <c r="S81" s="2"/>
      <c r="T81" s="2"/>
      <c r="U81" s="2"/>
    </row>
    <row r="82" spans="14:21" x14ac:dyDescent="0.25">
      <c r="N82" s="2"/>
      <c r="O82" s="2"/>
      <c r="P82" s="2"/>
      <c r="Q82" s="2"/>
      <c r="R82" s="2"/>
      <c r="S82" s="2"/>
      <c r="T82" s="2"/>
      <c r="U82" s="2"/>
    </row>
    <row r="83" spans="14:21" x14ac:dyDescent="0.25">
      <c r="N83" s="2"/>
      <c r="O83" s="2"/>
      <c r="P83" s="2"/>
      <c r="Q83" s="2"/>
      <c r="R83" s="2"/>
      <c r="S83" s="2"/>
      <c r="T83" s="2"/>
      <c r="U83" s="2"/>
    </row>
    <row r="84" spans="14:21" x14ac:dyDescent="0.25">
      <c r="N84" s="2"/>
      <c r="O84" s="2"/>
      <c r="P84" s="2"/>
      <c r="Q84" s="2"/>
      <c r="R84" s="2"/>
      <c r="S84" s="2"/>
      <c r="T84" s="2"/>
      <c r="U84" s="2"/>
    </row>
    <row r="85" spans="14:21" x14ac:dyDescent="0.25">
      <c r="N85" s="2"/>
      <c r="O85" s="2"/>
      <c r="P85" s="2"/>
      <c r="Q85" s="2"/>
      <c r="R85" s="2"/>
      <c r="S85" s="2"/>
      <c r="T85" s="2"/>
      <c r="U85" s="2"/>
    </row>
    <row r="86" spans="14:21" x14ac:dyDescent="0.25">
      <c r="N86" s="2"/>
      <c r="O86" s="2"/>
      <c r="P86" s="2"/>
      <c r="Q86" s="2"/>
      <c r="R86" s="2"/>
      <c r="S86" s="2"/>
      <c r="T86" s="2"/>
      <c r="U86" s="2"/>
    </row>
    <row r="87" spans="14:21" x14ac:dyDescent="0.25">
      <c r="N87" s="2"/>
      <c r="O87" s="2"/>
      <c r="P87" s="2"/>
      <c r="Q87" s="2"/>
      <c r="R87" s="2"/>
      <c r="S87" s="2"/>
      <c r="T87" s="2"/>
      <c r="U87" s="2"/>
    </row>
    <row r="88" spans="14:21" x14ac:dyDescent="0.25">
      <c r="N88" s="2"/>
      <c r="O88" s="2"/>
      <c r="P88" s="2"/>
      <c r="Q88" s="2"/>
      <c r="R88" s="2"/>
      <c r="S88" s="2"/>
      <c r="T88" s="2"/>
      <c r="U88" s="2"/>
    </row>
    <row r="89" spans="14:21" x14ac:dyDescent="0.25">
      <c r="N89" s="2"/>
      <c r="O89" s="2"/>
      <c r="P89" s="2"/>
      <c r="Q89" s="2"/>
      <c r="R89" s="2"/>
      <c r="S89" s="2"/>
      <c r="T89" s="2"/>
      <c r="U89" s="2"/>
    </row>
    <row r="90" spans="14:21" x14ac:dyDescent="0.25">
      <c r="N90" s="2"/>
      <c r="O90" s="2"/>
      <c r="P90" s="2"/>
      <c r="Q90" s="2"/>
      <c r="R90" s="2"/>
      <c r="S90" s="2"/>
      <c r="T90" s="2"/>
      <c r="U90" s="2"/>
    </row>
    <row r="91" spans="14:21" x14ac:dyDescent="0.25">
      <c r="N91" s="2"/>
      <c r="O91" s="2"/>
      <c r="P91" s="2"/>
      <c r="Q91" s="2"/>
      <c r="R91" s="2"/>
      <c r="S91" s="2"/>
      <c r="T91" s="2"/>
      <c r="U91" s="2"/>
    </row>
    <row r="92" spans="14:21" x14ac:dyDescent="0.25">
      <c r="N92" s="2"/>
      <c r="O92" s="2"/>
      <c r="P92" s="2"/>
      <c r="Q92" s="2"/>
      <c r="R92" s="2"/>
      <c r="S92" s="2"/>
      <c r="T92" s="2"/>
      <c r="U92" s="2"/>
    </row>
    <row r="93" spans="14:21" x14ac:dyDescent="0.25">
      <c r="N93" s="2"/>
      <c r="O93" s="2"/>
      <c r="P93" s="2"/>
      <c r="Q93" s="2"/>
      <c r="R93" s="2"/>
      <c r="S93" s="2"/>
      <c r="T93" s="2"/>
      <c r="U93" s="2"/>
    </row>
    <row r="94" spans="14:21" x14ac:dyDescent="0.25">
      <c r="N94" s="2"/>
      <c r="O94" s="2"/>
      <c r="P94" s="2"/>
      <c r="Q94" s="2"/>
      <c r="R94" s="2"/>
      <c r="S94" s="2"/>
      <c r="T94" s="2"/>
      <c r="U94" s="2"/>
    </row>
    <row r="95" spans="14:21" x14ac:dyDescent="0.25">
      <c r="N95" s="2"/>
      <c r="O95" s="2"/>
      <c r="P95" s="2"/>
      <c r="Q95" s="2"/>
      <c r="R95" s="2"/>
      <c r="S95" s="2"/>
      <c r="T95" s="2"/>
      <c r="U95" s="2"/>
    </row>
    <row r="96" spans="14:21" x14ac:dyDescent="0.25">
      <c r="N96" s="2"/>
      <c r="O96" s="2"/>
      <c r="P96" s="2"/>
      <c r="Q96" s="2"/>
      <c r="R96" s="2"/>
      <c r="S96" s="2"/>
      <c r="T96" s="2"/>
      <c r="U96" s="2"/>
    </row>
    <row r="97" spans="14:21" x14ac:dyDescent="0.25">
      <c r="N97" s="2"/>
      <c r="O97" s="2"/>
      <c r="P97" s="2"/>
      <c r="Q97" s="2"/>
      <c r="R97" s="2"/>
      <c r="S97" s="2"/>
      <c r="T97" s="2"/>
      <c r="U97" s="2"/>
    </row>
    <row r="98" spans="14:21" x14ac:dyDescent="0.25">
      <c r="N98" s="2"/>
      <c r="O98" s="2"/>
      <c r="P98" s="2"/>
      <c r="Q98" s="2"/>
      <c r="R98" s="2"/>
      <c r="S98" s="2"/>
      <c r="T98" s="2"/>
      <c r="U98" s="2"/>
    </row>
    <row r="99" spans="14:21" x14ac:dyDescent="0.25">
      <c r="N99" s="2"/>
      <c r="O99" s="2"/>
      <c r="P99" s="2"/>
      <c r="Q99" s="2"/>
      <c r="R99" s="2"/>
      <c r="S99" s="2"/>
      <c r="T99" s="2"/>
      <c r="U99" s="2"/>
    </row>
    <row r="100" spans="14:21" x14ac:dyDescent="0.25">
      <c r="N100" s="2"/>
      <c r="O100" s="2"/>
      <c r="P100" s="2"/>
      <c r="Q100" s="2"/>
      <c r="R100" s="2"/>
      <c r="S100" s="2"/>
      <c r="T100" s="2"/>
      <c r="U100" s="2"/>
    </row>
    <row r="101" spans="14:21" x14ac:dyDescent="0.25">
      <c r="N101" s="2"/>
      <c r="O101" s="2"/>
      <c r="P101" s="2"/>
      <c r="Q101" s="2"/>
      <c r="R101" s="2"/>
      <c r="S101" s="2"/>
      <c r="T101" s="2"/>
      <c r="U101" s="2"/>
    </row>
    <row r="102" spans="14:21" x14ac:dyDescent="0.25">
      <c r="N102" s="2"/>
      <c r="O102" s="2"/>
      <c r="P102" s="2"/>
      <c r="Q102" s="2"/>
      <c r="R102" s="2"/>
      <c r="S102" s="2"/>
      <c r="T102" s="2"/>
      <c r="U102" s="2"/>
    </row>
    <row r="103" spans="14:21" x14ac:dyDescent="0.25">
      <c r="N103" s="2"/>
      <c r="O103" s="2"/>
      <c r="P103" s="2"/>
      <c r="Q103" s="2"/>
      <c r="R103" s="2"/>
      <c r="S103" s="2"/>
      <c r="T103" s="2"/>
      <c r="U103" s="2"/>
    </row>
    <row r="104" spans="14:21" x14ac:dyDescent="0.25">
      <c r="N104" s="2"/>
      <c r="O104" s="2"/>
      <c r="P104" s="2"/>
      <c r="Q104" s="2"/>
      <c r="R104" s="2"/>
      <c r="S104" s="2"/>
      <c r="T104" s="2"/>
      <c r="U104" s="2"/>
    </row>
    <row r="105" spans="14:21" x14ac:dyDescent="0.25">
      <c r="N105" s="2"/>
      <c r="O105" s="2"/>
      <c r="P105" s="2"/>
      <c r="Q105" s="2"/>
      <c r="R105" s="2"/>
      <c r="S105" s="2"/>
      <c r="T105" s="2"/>
      <c r="U105" s="2"/>
    </row>
    <row r="106" spans="14:21" x14ac:dyDescent="0.25">
      <c r="N106" s="2"/>
      <c r="O106" s="2"/>
      <c r="P106" s="2"/>
      <c r="Q106" s="2"/>
      <c r="R106" s="2"/>
      <c r="S106" s="2"/>
      <c r="T106" s="2"/>
      <c r="U106" s="2"/>
    </row>
    <row r="107" spans="14:21" x14ac:dyDescent="0.25">
      <c r="N107" s="2"/>
      <c r="O107" s="2"/>
      <c r="P107" s="2"/>
      <c r="Q107" s="2"/>
      <c r="R107" s="2"/>
      <c r="S107" s="2"/>
      <c r="T107" s="2"/>
      <c r="U107" s="2"/>
    </row>
    <row r="108" spans="14:21" x14ac:dyDescent="0.25">
      <c r="N108" s="2"/>
      <c r="O108" s="2"/>
      <c r="P108" s="2"/>
      <c r="Q108" s="2"/>
      <c r="R108" s="2"/>
      <c r="S108" s="2"/>
      <c r="T108" s="2"/>
      <c r="U108" s="2"/>
    </row>
    <row r="109" spans="14:21" x14ac:dyDescent="0.25">
      <c r="N109" s="2"/>
      <c r="O109" s="2"/>
      <c r="P109" s="2"/>
      <c r="Q109" s="2"/>
      <c r="R109" s="2"/>
      <c r="S109" s="2"/>
      <c r="T109" s="2"/>
      <c r="U109" s="2"/>
    </row>
    <row r="110" spans="14:21" x14ac:dyDescent="0.25">
      <c r="N110" s="2"/>
      <c r="O110" s="2"/>
      <c r="P110" s="2"/>
      <c r="Q110" s="2"/>
      <c r="R110" s="2"/>
      <c r="S110" s="2"/>
      <c r="T110" s="2"/>
      <c r="U110" s="2"/>
    </row>
    <row r="111" spans="14:21" x14ac:dyDescent="0.25">
      <c r="N111" s="2"/>
      <c r="O111" s="2"/>
      <c r="P111" s="2"/>
      <c r="Q111" s="2"/>
      <c r="R111" s="2"/>
      <c r="S111" s="2"/>
      <c r="T111" s="2"/>
      <c r="U111" s="2"/>
    </row>
    <row r="112" spans="14:21" x14ac:dyDescent="0.25">
      <c r="N112" s="2"/>
      <c r="O112" s="2"/>
      <c r="P112" s="2"/>
      <c r="Q112" s="2"/>
      <c r="R112" s="2"/>
      <c r="S112" s="2"/>
      <c r="T112" s="2"/>
      <c r="U112" s="2"/>
    </row>
    <row r="113" spans="14:21" x14ac:dyDescent="0.25">
      <c r="N113" s="2"/>
      <c r="O113" s="2"/>
      <c r="P113" s="2"/>
      <c r="Q113" s="2"/>
      <c r="R113" s="2"/>
      <c r="S113" s="2"/>
      <c r="T113" s="2"/>
      <c r="U113" s="2"/>
    </row>
    <row r="114" spans="14:21" x14ac:dyDescent="0.25">
      <c r="N114" s="2"/>
      <c r="O114" s="2"/>
      <c r="P114" s="2"/>
      <c r="Q114" s="2"/>
      <c r="R114" s="2"/>
      <c r="S114" s="2"/>
      <c r="T114" s="2"/>
      <c r="U114" s="2"/>
    </row>
    <row r="115" spans="14:21" x14ac:dyDescent="0.25">
      <c r="N115" s="2"/>
      <c r="O115" s="2"/>
      <c r="P115" s="2"/>
      <c r="Q115" s="2"/>
      <c r="R115" s="2"/>
      <c r="S115" s="2"/>
      <c r="T115" s="2"/>
      <c r="U115" s="2"/>
    </row>
  </sheetData>
  <mergeCells count="34">
    <mergeCell ref="B17:L17"/>
    <mergeCell ref="B18:L18"/>
    <mergeCell ref="B14:L14"/>
    <mergeCell ref="B15:L15"/>
    <mergeCell ref="B16:L16"/>
    <mergeCell ref="B12:L12"/>
    <mergeCell ref="B13:L13"/>
    <mergeCell ref="A7:L7"/>
    <mergeCell ref="B9:L9"/>
    <mergeCell ref="B10:L10"/>
    <mergeCell ref="C2:H2"/>
    <mergeCell ref="I2:L3"/>
    <mergeCell ref="C3:H3"/>
    <mergeCell ref="A5:L5"/>
    <mergeCell ref="B11:L11"/>
    <mergeCell ref="N7:U7"/>
    <mergeCell ref="N10:U10"/>
    <mergeCell ref="N11:U13"/>
    <mergeCell ref="N15:U15"/>
    <mergeCell ref="N16:U18"/>
    <mergeCell ref="N20:U20"/>
    <mergeCell ref="N21:U23"/>
    <mergeCell ref="N25:U25"/>
    <mergeCell ref="N26:U28"/>
    <mergeCell ref="N30:U30"/>
    <mergeCell ref="N45:U45"/>
    <mergeCell ref="N46:U48"/>
    <mergeCell ref="B22:L24"/>
    <mergeCell ref="B27:L30"/>
    <mergeCell ref="N31:U33"/>
    <mergeCell ref="N35:U35"/>
    <mergeCell ref="N36:U38"/>
    <mergeCell ref="N40:U40"/>
    <mergeCell ref="N41:U43"/>
  </mergeCells>
  <hyperlinks>
    <hyperlink ref="B9" location="'1. Resumen'!A7" display="'1. Resumen'!A7" xr:uid="{594280F4-A15F-40E8-B0B1-D18C233CACDA}"/>
    <hyperlink ref="B10" location="'2. Antecedentes'!A7" display="'2. Antecedentes'!A7" xr:uid="{E7AC5050-D568-4D25-ADC8-8775403EA903}"/>
    <hyperlink ref="B11" location="'3. Urbanas'!A7" display="'3. Urbanas'!A7" xr:uid="{EB1770E0-407D-43D2-8002-3F8CE18084B7}"/>
    <hyperlink ref="B12" location="'4. Inmueble'!A7" display="'4. Inmueble'!A7" xr:uid="{1B5F89C6-F879-4E54-B4A1-A0CD6FA3F57F}"/>
    <hyperlink ref="B13" location="'5. Comp. Terreno'!A7" display="'5. Comp. Terreno'!A7" xr:uid="{1B492195-008E-4444-AB3E-523AD01E4D3F}"/>
    <hyperlink ref="B14" location="'6. Comp. Constr.'!A7" display="'6. Comp. Constr.'!A7" xr:uid="{CACD3808-3B35-42BA-8DB7-46BCDE66D6D3}"/>
    <hyperlink ref="B15" location="'7. Ingresos'!A7" display="'7. Ingresos'!A7" xr:uid="{C75865E6-6D5F-47C4-A81E-F2A8E46502EE}"/>
    <hyperlink ref="B16" location="'8. Físico'!A7" display="'8. Físico'!A7" xr:uid="{6438C510-C422-4D8B-BF96-09C7382C47CD}"/>
    <hyperlink ref="B17" location="'9. Conciliación'!A7" display="'9. Conciliación'!A7" xr:uid="{CB0FAED7-2101-4009-9EBF-359C799ED16F}"/>
    <hyperlink ref="B18" location="'10. Fotografías'!A7" display="'10. Fotografías'!A7" xr:uid="{BA9A0CC8-8B25-4F0D-9B71-00DF49130436}"/>
  </hyperlinks>
  <printOptions horizontalCentered="1"/>
  <pageMargins left="0.28000000000000003" right="0.28000000000000003" top="0.4" bottom="0.5" header="0.25" footer="0.25"/>
  <pageSetup scale="93" orientation="portrait" r:id="rId1"/>
  <headerFooter>
    <oddFooter>&amp;C&amp;"Arial"&amp;8&amp;K6B7280&amp;P/&amp;F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13F33"/>
    <pageSetUpPr fitToPage="1"/>
  </sheetPr>
  <dimension ref="A1:U115"/>
  <sheetViews>
    <sheetView showGridLines="0" tabSelected="1" zoomScaleNormal="100" workbookViewId="0">
      <selection activeCell="Q34" sqref="Q34"/>
    </sheetView>
  </sheetViews>
  <sheetFormatPr baseColWidth="10" defaultColWidth="9.140625" defaultRowHeight="15" x14ac:dyDescent="0.25"/>
  <cols>
    <col min="1" max="12" width="9" customWidth="1"/>
    <col min="13" max="13" width="3" customWidth="1"/>
    <col min="14" max="21" width="18" customWidth="1"/>
  </cols>
  <sheetData>
    <row r="1" spans="1:2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N1" s="2"/>
      <c r="O1" s="2"/>
      <c r="P1" s="2"/>
      <c r="Q1" s="2"/>
      <c r="R1" s="2"/>
      <c r="S1" s="2"/>
      <c r="T1" s="2"/>
      <c r="U1" s="2"/>
    </row>
    <row r="2" spans="1:21" ht="18" customHeight="1" x14ac:dyDescent="0.25">
      <c r="A2" s="11"/>
      <c r="B2" s="11"/>
      <c r="C2" s="21"/>
      <c r="D2" s="21"/>
      <c r="E2" s="21"/>
      <c r="F2" s="21"/>
      <c r="G2" s="21"/>
      <c r="H2" s="21"/>
      <c r="I2" s="8" t="str">
        <f>"Opinión de valor comercial"&amp;IF('2. Antecedentes'!$Q$9&lt;&gt;"",CHAR(10)&amp;"Folio "&amp;'2. Antecedentes'!$Q$9,"")</f>
        <v>Opinión de valor comercial</v>
      </c>
      <c r="J2" s="39"/>
      <c r="K2" s="39"/>
      <c r="L2" s="39"/>
      <c r="N2" s="2"/>
      <c r="O2" s="2"/>
      <c r="P2" s="2"/>
      <c r="Q2" s="2"/>
      <c r="R2" s="2"/>
      <c r="S2" s="2"/>
      <c r="T2" s="2"/>
      <c r="U2" s="2"/>
    </row>
    <row r="3" spans="1:21" ht="12" customHeight="1" x14ac:dyDescent="0.25">
      <c r="A3" s="11"/>
      <c r="B3" s="11"/>
      <c r="C3" s="25"/>
      <c r="D3" s="25"/>
      <c r="E3" s="25"/>
      <c r="F3" s="25"/>
      <c r="G3" s="25"/>
      <c r="H3" s="25"/>
      <c r="I3" s="39"/>
      <c r="J3" s="39"/>
      <c r="K3" s="39"/>
      <c r="L3" s="39"/>
      <c r="N3" s="2"/>
      <c r="O3" s="2"/>
      <c r="P3" s="2"/>
      <c r="Q3" s="2"/>
      <c r="R3" s="2"/>
      <c r="S3" s="2"/>
      <c r="T3" s="2"/>
      <c r="U3" s="2"/>
    </row>
    <row r="4" spans="1:21" ht="8.1" customHeight="1" thickBot="1" x14ac:dyDescent="0.3">
      <c r="A4" s="350"/>
      <c r="B4" s="350"/>
      <c r="C4" s="350"/>
      <c r="D4" s="26"/>
      <c r="E4" s="26"/>
      <c r="F4" s="26"/>
      <c r="G4" s="26"/>
      <c r="H4" s="26"/>
      <c r="I4" s="26"/>
      <c r="J4" s="26"/>
      <c r="K4" s="26"/>
      <c r="L4" s="26"/>
      <c r="N4" s="2"/>
      <c r="O4" s="2"/>
      <c r="P4" s="2"/>
      <c r="Q4" s="2"/>
      <c r="R4" s="2"/>
      <c r="S4" s="2"/>
      <c r="T4" s="2"/>
      <c r="U4" s="2"/>
    </row>
    <row r="5" spans="1:21" ht="3" customHeight="1" x14ac:dyDescent="0.2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N5" s="9"/>
      <c r="O5" s="2"/>
      <c r="P5" s="2"/>
      <c r="Q5" s="2"/>
      <c r="R5" s="2"/>
      <c r="S5" s="2"/>
      <c r="T5" s="2"/>
      <c r="U5" s="2"/>
    </row>
    <row r="6" spans="1:21" ht="8.1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N6" s="9"/>
      <c r="O6" s="2"/>
      <c r="P6" s="2"/>
      <c r="Q6" s="2"/>
      <c r="R6" s="2"/>
      <c r="S6" s="2"/>
      <c r="T6" s="2"/>
      <c r="U6" s="2"/>
    </row>
    <row r="7" spans="1:21" ht="21.95" customHeight="1" x14ac:dyDescent="0.25">
      <c r="A7" s="28" t="s">
        <v>18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N7" s="2"/>
      <c r="O7" s="2"/>
      <c r="P7" s="2"/>
      <c r="Q7" s="2"/>
      <c r="R7" s="2"/>
      <c r="S7" s="2"/>
      <c r="T7" s="2"/>
      <c r="U7" s="2"/>
    </row>
    <row r="8" spans="1:2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N8" s="2"/>
      <c r="O8" s="2"/>
      <c r="P8" s="2"/>
      <c r="Q8" s="2"/>
      <c r="R8" s="2"/>
      <c r="S8" s="2"/>
      <c r="T8" s="2"/>
      <c r="U8" s="2"/>
    </row>
    <row r="9" spans="1:21" ht="18" customHeight="1" x14ac:dyDescent="0.25">
      <c r="A9" s="293" t="s">
        <v>19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1"/>
      <c r="N9" s="2"/>
      <c r="O9" s="2"/>
      <c r="P9" s="2"/>
      <c r="Q9" s="2"/>
      <c r="R9" s="2"/>
      <c r="S9" s="2"/>
      <c r="T9" s="2"/>
      <c r="U9" s="2"/>
    </row>
    <row r="10" spans="1:21" ht="17.100000000000001" customHeight="1" x14ac:dyDescent="0.25">
      <c r="A10" s="294" t="s">
        <v>20</v>
      </c>
      <c r="B10" s="42"/>
      <c r="C10" s="43"/>
      <c r="D10" s="44" t="str">
        <f>IF('2. Antecedentes'!E10="","",'2. Antecedentes'!E10)</f>
        <v/>
      </c>
      <c r="E10" s="45"/>
      <c r="F10" s="45"/>
      <c r="G10" s="45"/>
      <c r="H10" s="45"/>
      <c r="I10" s="45"/>
      <c r="J10" s="45"/>
      <c r="K10" s="45"/>
      <c r="L10" s="46"/>
      <c r="N10" s="2"/>
      <c r="O10" s="2"/>
      <c r="P10" s="2"/>
      <c r="Q10" s="2"/>
      <c r="R10" s="2"/>
      <c r="S10" s="2"/>
      <c r="T10" s="2"/>
      <c r="U10" s="2"/>
    </row>
    <row r="11" spans="1:21" ht="17.100000000000001" customHeight="1" x14ac:dyDescent="0.25">
      <c r="A11" s="14" t="s">
        <v>21</v>
      </c>
      <c r="B11" s="14"/>
      <c r="C11" s="14"/>
      <c r="D11" s="15" t="str">
        <f>IF('2. Antecedentes'!E13="","",'2. Antecedentes'!E13)</f>
        <v/>
      </c>
      <c r="E11" s="16"/>
      <c r="F11" s="16"/>
      <c r="G11" s="16"/>
      <c r="H11" s="16"/>
      <c r="I11" s="16"/>
      <c r="J11" s="16"/>
      <c r="K11" s="16"/>
      <c r="L11" s="16"/>
      <c r="N11" s="2"/>
      <c r="O11" s="2"/>
      <c r="P11" s="2"/>
      <c r="Q11" s="2"/>
      <c r="R11" s="2"/>
      <c r="S11" s="2"/>
      <c r="T11" s="2"/>
      <c r="U11" s="2"/>
    </row>
    <row r="12" spans="1:21" ht="17.100000000000001" customHeight="1" x14ac:dyDescent="0.25">
      <c r="A12" s="14" t="s">
        <v>22</v>
      </c>
      <c r="B12" s="14"/>
      <c r="C12" s="14"/>
      <c r="D12" s="15" t="str">
        <f>IF('2. Antecedentes'!E17="","",'2. Antecedentes'!E17)</f>
        <v/>
      </c>
      <c r="E12" s="16"/>
      <c r="F12" s="16"/>
      <c r="G12" s="16"/>
      <c r="H12" s="16"/>
      <c r="I12" s="16"/>
      <c r="J12" s="16"/>
      <c r="K12" s="16"/>
      <c r="L12" s="16"/>
      <c r="N12" s="2"/>
      <c r="O12" s="2"/>
      <c r="P12" s="2"/>
      <c r="Q12" s="2"/>
      <c r="R12" s="2"/>
      <c r="S12" s="2"/>
      <c r="T12" s="2"/>
      <c r="U12" s="2"/>
    </row>
    <row r="13" spans="1:21" ht="17.100000000000001" customHeight="1" x14ac:dyDescent="0.25">
      <c r="A13" s="14" t="s">
        <v>23</v>
      </c>
      <c r="B13" s="14"/>
      <c r="C13" s="14"/>
      <c r="D13" s="15" t="str">
        <f>IF('2. Antecedentes'!E15="","",'2. Antecedentes'!E15)</f>
        <v/>
      </c>
      <c r="E13" s="16"/>
      <c r="F13" s="16"/>
      <c r="G13" s="16"/>
      <c r="H13" s="16"/>
      <c r="I13" s="16"/>
      <c r="J13" s="16"/>
      <c r="K13" s="16"/>
      <c r="L13" s="16"/>
      <c r="N13" s="2"/>
      <c r="O13" s="2"/>
      <c r="P13" s="2"/>
      <c r="Q13" s="2"/>
      <c r="R13" s="2"/>
      <c r="S13" s="2"/>
      <c r="T13" s="2"/>
      <c r="U13" s="2"/>
    </row>
    <row r="14" spans="1:21" ht="17.100000000000001" customHeight="1" x14ac:dyDescent="0.25">
      <c r="A14" s="14" t="s">
        <v>24</v>
      </c>
      <c r="B14" s="14"/>
      <c r="C14" s="14"/>
      <c r="D14" s="15" t="str">
        <f>IF('2. Antecedentes'!E16="","",'2. Antecedentes'!E16)</f>
        <v/>
      </c>
      <c r="E14" s="16"/>
      <c r="F14" s="16"/>
      <c r="G14" s="14" t="s">
        <v>25</v>
      </c>
      <c r="H14" s="14"/>
      <c r="I14" s="15" t="str">
        <f>IF('2. Antecedentes'!Q9="","",'2. Antecedentes'!Q9)</f>
        <v/>
      </c>
      <c r="J14" s="16"/>
      <c r="K14" s="16"/>
      <c r="L14" s="16"/>
      <c r="N14" s="2"/>
      <c r="O14" s="2"/>
      <c r="P14" s="2"/>
      <c r="Q14" s="2"/>
      <c r="R14" s="2"/>
      <c r="S14" s="2"/>
      <c r="T14" s="2"/>
      <c r="U14" s="2"/>
    </row>
    <row r="15" spans="1:21" ht="17.100000000000001" customHeight="1" x14ac:dyDescent="0.25">
      <c r="A15" s="14" t="s">
        <v>26</v>
      </c>
      <c r="B15" s="14"/>
      <c r="C15" s="14"/>
      <c r="D15" s="47" t="str">
        <f>IF('4. Inmueble'!D10="","",'4. Inmueble'!D10)</f>
        <v/>
      </c>
      <c r="E15" s="48"/>
      <c r="F15" s="48"/>
      <c r="G15" s="14" t="s">
        <v>27</v>
      </c>
      <c r="H15" s="14"/>
      <c r="I15" s="47" t="str">
        <f>IF('4. Inmueble'!D19="","",'4. Inmueble'!D19)</f>
        <v/>
      </c>
      <c r="J15" s="48"/>
      <c r="K15" s="48"/>
      <c r="L15" s="48"/>
      <c r="N15" s="2"/>
      <c r="O15" s="2"/>
      <c r="P15" s="2"/>
      <c r="Q15" s="2"/>
      <c r="R15" s="2"/>
      <c r="S15" s="2"/>
      <c r="T15" s="2"/>
      <c r="U15" s="2"/>
    </row>
    <row r="16" spans="1:21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N16" s="2"/>
      <c r="O16" s="2"/>
      <c r="P16" s="2"/>
      <c r="Q16" s="2"/>
      <c r="R16" s="2"/>
      <c r="S16" s="2"/>
      <c r="T16" s="2"/>
      <c r="U16" s="2"/>
    </row>
    <row r="17" spans="1:21" ht="18" customHeight="1" x14ac:dyDescent="0.25">
      <c r="A17" s="295" t="s">
        <v>28</v>
      </c>
      <c r="B17" s="41"/>
      <c r="C17" s="49"/>
      <c r="D17" s="49"/>
      <c r="E17" s="49"/>
      <c r="F17" s="49"/>
      <c r="G17" s="49"/>
      <c r="H17" s="49"/>
      <c r="I17" s="49"/>
      <c r="J17" s="49"/>
      <c r="K17" s="49"/>
      <c r="L17" s="49"/>
      <c r="N17" s="2"/>
      <c r="O17" s="2"/>
      <c r="P17" s="2"/>
      <c r="Q17" s="2"/>
      <c r="R17" s="2"/>
      <c r="S17" s="2"/>
      <c r="T17" s="2"/>
      <c r="U17" s="2"/>
    </row>
    <row r="18" spans="1:21" ht="17.100000000000001" customHeight="1" x14ac:dyDescent="0.25">
      <c r="A18" s="296" t="s">
        <v>29</v>
      </c>
      <c r="B18" s="14"/>
      <c r="C18" s="14"/>
      <c r="D18" s="15" t="str">
        <f>IF('4. Inmueble'!I19="","",'4. Inmueble'!I19)</f>
        <v/>
      </c>
      <c r="E18" s="16"/>
      <c r="F18" s="16"/>
      <c r="G18" s="14" t="s">
        <v>30</v>
      </c>
      <c r="H18" s="14"/>
      <c r="I18" s="15" t="str">
        <f>IF('4. Inmueble'!I21="","",'4. Inmueble'!I21)</f>
        <v/>
      </c>
      <c r="J18" s="16"/>
      <c r="K18" s="16"/>
      <c r="L18" s="16"/>
      <c r="N18" s="2"/>
      <c r="O18" s="2"/>
      <c r="P18" s="2"/>
      <c r="Q18" s="2"/>
      <c r="R18" s="2"/>
      <c r="S18" s="2"/>
      <c r="T18" s="2"/>
      <c r="U18" s="2"/>
    </row>
    <row r="19" spans="1:21" ht="17.100000000000001" customHeight="1" x14ac:dyDescent="0.25">
      <c r="A19" s="14" t="s">
        <v>31</v>
      </c>
      <c r="B19" s="14"/>
      <c r="C19" s="14"/>
      <c r="D19" s="15" t="str">
        <f>IF('4. Inmueble'!D20="","",'4. Inmueble'!D20)</f>
        <v/>
      </c>
      <c r="E19" s="16"/>
      <c r="F19" s="16"/>
      <c r="G19" s="14" t="s">
        <v>32</v>
      </c>
      <c r="H19" s="14"/>
      <c r="I19" s="15" t="str">
        <f>IF('4. Inmueble'!I20="","",'4. Inmueble'!I20)</f>
        <v/>
      </c>
      <c r="J19" s="16"/>
      <c r="K19" s="16"/>
      <c r="L19" s="16"/>
      <c r="N19" s="2"/>
      <c r="O19" s="2"/>
      <c r="P19" s="2"/>
      <c r="Q19" s="2"/>
      <c r="R19" s="2"/>
      <c r="S19" s="2"/>
      <c r="T19" s="2"/>
      <c r="U19" s="2"/>
    </row>
    <row r="20" spans="1:21" ht="17.100000000000001" customHeight="1" x14ac:dyDescent="0.25">
      <c r="A20" s="14" t="s">
        <v>33</v>
      </c>
      <c r="B20" s="14"/>
      <c r="C20" s="14"/>
      <c r="D20" s="15" t="str">
        <f>IF('4. Inmueble'!D22="","",'4. Inmueble'!D22)</f>
        <v/>
      </c>
      <c r="E20" s="16"/>
      <c r="F20" s="16"/>
      <c r="G20" s="14" t="s">
        <v>34</v>
      </c>
      <c r="H20" s="14"/>
      <c r="I20" s="15" t="str">
        <f>IF('4. Inmueble'!D21="","",'4. Inmueble'!D21)</f>
        <v/>
      </c>
      <c r="J20" s="16"/>
      <c r="K20" s="16"/>
      <c r="L20" s="16"/>
      <c r="N20" s="2"/>
      <c r="O20" s="2"/>
      <c r="P20" s="2"/>
      <c r="Q20" s="2"/>
      <c r="R20" s="2"/>
      <c r="S20" s="2"/>
      <c r="T20" s="2"/>
      <c r="U20" s="2"/>
    </row>
    <row r="21" spans="1:21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N21" s="2"/>
      <c r="O21" s="2"/>
      <c r="P21" s="2"/>
      <c r="Q21" s="2"/>
      <c r="R21" s="2"/>
      <c r="S21" s="2"/>
      <c r="T21" s="2"/>
      <c r="U21" s="2"/>
    </row>
    <row r="22" spans="1:21" ht="18" customHeight="1" x14ac:dyDescent="0.25">
      <c r="A22" s="295" t="s">
        <v>35</v>
      </c>
      <c r="B22" s="41"/>
      <c r="C22" s="49"/>
      <c r="D22" s="49"/>
      <c r="E22" s="49"/>
      <c r="F22" s="49"/>
      <c r="G22" s="49"/>
      <c r="H22" s="49"/>
      <c r="I22" s="49"/>
      <c r="J22" s="49"/>
      <c r="K22" s="49"/>
      <c r="L22" s="49"/>
      <c r="N22" s="2"/>
      <c r="O22" s="2"/>
      <c r="P22" s="2"/>
      <c r="Q22" s="2"/>
      <c r="R22" s="2"/>
      <c r="S22" s="2"/>
      <c r="T22" s="2"/>
      <c r="U22" s="2"/>
    </row>
    <row r="23" spans="1:21" ht="17.100000000000001" customHeight="1" x14ac:dyDescent="0.25">
      <c r="A23" s="50" t="s">
        <v>36</v>
      </c>
      <c r="B23" s="51"/>
      <c r="C23" s="51"/>
      <c r="D23" s="51"/>
      <c r="E23" s="51"/>
      <c r="F23" s="51"/>
      <c r="G23" s="51"/>
      <c r="H23" s="52" t="s">
        <v>37</v>
      </c>
      <c r="I23" s="53"/>
      <c r="J23" s="52" t="s">
        <v>38</v>
      </c>
      <c r="K23" s="53"/>
      <c r="L23" s="53"/>
      <c r="N23" s="2"/>
      <c r="O23" s="2"/>
      <c r="P23" s="2"/>
      <c r="Q23" s="2"/>
      <c r="R23" s="2"/>
      <c r="S23" s="2"/>
      <c r="T23" s="2"/>
      <c r="U23" s="2"/>
    </row>
    <row r="24" spans="1:21" ht="18" customHeight="1" x14ac:dyDescent="0.25">
      <c r="A24" s="54" t="s">
        <v>39</v>
      </c>
      <c r="B24" s="54"/>
      <c r="C24" s="54"/>
      <c r="D24" s="54"/>
      <c r="E24" s="54"/>
      <c r="F24" s="54"/>
      <c r="G24" s="54"/>
      <c r="H24" s="55" t="str">
        <f>IF('9. Conciliación'!D11="","",'9. Conciliación'!D11)</f>
        <v/>
      </c>
      <c r="I24" s="55"/>
      <c r="J24" s="56" t="str">
        <f>IF('9. Conciliación'!F11="","",'9. Conciliación'!F11)</f>
        <v/>
      </c>
      <c r="K24" s="56"/>
      <c r="L24" s="56"/>
      <c r="N24" s="2"/>
      <c r="O24" s="2"/>
      <c r="P24" s="2"/>
      <c r="Q24" s="2"/>
      <c r="R24" s="2"/>
      <c r="S24" s="2"/>
      <c r="T24" s="2"/>
      <c r="U24" s="2"/>
    </row>
    <row r="25" spans="1:21" ht="18" customHeight="1" x14ac:dyDescent="0.25">
      <c r="A25" s="57" t="s">
        <v>40</v>
      </c>
      <c r="B25" s="58"/>
      <c r="C25" s="58"/>
      <c r="D25" s="58"/>
      <c r="E25" s="58"/>
      <c r="F25" s="58"/>
      <c r="G25" s="58"/>
      <c r="H25" s="59" t="str">
        <f>IF('9. Conciliación'!D12="","",'9. Conciliación'!D12)</f>
        <v/>
      </c>
      <c r="I25" s="60"/>
      <c r="J25" s="61" t="str">
        <f>IF('9. Conciliación'!F12="","",'9. Conciliación'!F12)</f>
        <v/>
      </c>
      <c r="K25" s="62"/>
      <c r="L25" s="62"/>
      <c r="N25" s="2"/>
      <c r="O25" s="2"/>
      <c r="P25" s="2"/>
      <c r="Q25" s="2"/>
      <c r="R25" s="2"/>
      <c r="S25" s="2"/>
      <c r="T25" s="2"/>
      <c r="U25" s="2"/>
    </row>
    <row r="26" spans="1:21" ht="18" customHeight="1" x14ac:dyDescent="0.25">
      <c r="A26" s="54" t="s">
        <v>41</v>
      </c>
      <c r="B26" s="54"/>
      <c r="C26" s="54"/>
      <c r="D26" s="54"/>
      <c r="E26" s="54"/>
      <c r="F26" s="54"/>
      <c r="G26" s="54"/>
      <c r="H26" s="55" t="str">
        <f>IF('9. Conciliación'!D13="","",'9. Conciliación'!D13)</f>
        <v/>
      </c>
      <c r="I26" s="55"/>
      <c r="J26" s="56" t="str">
        <f>IF('9. Conciliación'!F13="","",'9. Conciliación'!F13)</f>
        <v/>
      </c>
      <c r="K26" s="56"/>
      <c r="L26" s="56"/>
      <c r="N26" s="2"/>
      <c r="O26" s="2"/>
      <c r="P26" s="2"/>
      <c r="Q26" s="2"/>
      <c r="R26" s="2"/>
      <c r="S26" s="2"/>
      <c r="T26" s="2"/>
      <c r="U26" s="2"/>
    </row>
    <row r="27" spans="1:21" ht="24" customHeight="1" thickBot="1" x14ac:dyDescent="0.3">
      <c r="A27" s="63" t="s">
        <v>42</v>
      </c>
      <c r="B27" s="64"/>
      <c r="C27" s="64"/>
      <c r="D27" s="64"/>
      <c r="E27" s="64"/>
      <c r="F27" s="64"/>
      <c r="G27" s="64"/>
      <c r="H27" s="65" t="str">
        <f>IF(ISNUMBER('9. Conciliación'!I16),'9. Conciliación'!I16,"Pendiente")</f>
        <v>Pendiente</v>
      </c>
      <c r="I27" s="66"/>
      <c r="J27" s="66"/>
      <c r="K27" s="66"/>
      <c r="L27" s="66"/>
      <c r="N27" s="2"/>
      <c r="O27" s="2"/>
      <c r="P27" s="2"/>
      <c r="Q27" s="2"/>
      <c r="R27" s="2"/>
      <c r="S27" s="2"/>
      <c r="T27" s="2"/>
      <c r="U27" s="2"/>
    </row>
    <row r="28" spans="1:21" ht="18" customHeight="1" x14ac:dyDescent="0.25">
      <c r="A28" s="355" t="str">
        <f>IF('9. Conciliación'!Q26="","","("&amp;'9. Conciliación'!Q26&amp;")")</f>
        <v/>
      </c>
      <c r="B28" s="355"/>
      <c r="C28" s="355"/>
      <c r="D28" s="355"/>
      <c r="E28" s="355"/>
      <c r="F28" s="355"/>
      <c r="G28" s="355"/>
      <c r="H28" s="355"/>
      <c r="I28" s="355"/>
      <c r="J28" s="355"/>
      <c r="K28" s="355"/>
      <c r="L28" s="355"/>
      <c r="N28" s="2"/>
      <c r="O28" s="2"/>
      <c r="P28" s="2"/>
      <c r="Q28" s="2"/>
      <c r="R28" s="2"/>
      <c r="S28" s="2"/>
      <c r="T28" s="2"/>
      <c r="U28" s="2"/>
    </row>
    <row r="29" spans="1:21" ht="18" customHeight="1" x14ac:dyDescent="0.25">
      <c r="A29" s="295" t="s">
        <v>43</v>
      </c>
      <c r="B29" s="41"/>
      <c r="C29" s="49"/>
      <c r="D29" s="49"/>
      <c r="E29" s="49"/>
      <c r="F29" s="49"/>
      <c r="G29" s="49"/>
      <c r="H29" s="49"/>
      <c r="I29" s="49"/>
      <c r="J29" s="49"/>
      <c r="K29" s="49"/>
      <c r="L29" s="49"/>
      <c r="N29" s="2"/>
      <c r="O29" s="2"/>
      <c r="P29" s="2"/>
      <c r="Q29" s="2"/>
      <c r="R29" s="2"/>
      <c r="S29" s="2"/>
      <c r="T29" s="2"/>
      <c r="U29" s="2"/>
    </row>
    <row r="30" spans="1:21" ht="23.1" customHeight="1" x14ac:dyDescent="0.25">
      <c r="A30" s="297" t="str">
        <f>IF('9. Conciliación'!A19="","",'9. Conciliación'!A19)</f>
        <v/>
      </c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N30" s="2"/>
      <c r="O30" s="2"/>
      <c r="P30" s="2"/>
      <c r="Q30" s="2"/>
      <c r="R30" s="2"/>
      <c r="S30" s="2"/>
      <c r="T30" s="2"/>
      <c r="U30" s="2"/>
    </row>
    <row r="31" spans="1:21" ht="23.1" customHeight="1" x14ac:dyDescent="0.25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N31" s="2"/>
      <c r="O31" s="2"/>
      <c r="P31" s="2"/>
      <c r="Q31" s="2"/>
      <c r="R31" s="2"/>
      <c r="S31" s="2"/>
      <c r="T31" s="2"/>
      <c r="U31" s="2"/>
    </row>
    <row r="32" spans="1:21" ht="23.1" customHeight="1" x14ac:dyDescent="0.25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N32" s="2"/>
      <c r="O32" s="2"/>
      <c r="P32" s="2"/>
      <c r="Q32" s="2"/>
      <c r="R32" s="2"/>
      <c r="S32" s="2"/>
      <c r="T32" s="2"/>
      <c r="U32" s="2"/>
    </row>
    <row r="33" spans="1:21" ht="23.1" customHeight="1" x14ac:dyDescent="0.25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N33" s="2"/>
      <c r="O33" s="2"/>
      <c r="P33" s="2"/>
      <c r="Q33" s="2"/>
      <c r="R33" s="2"/>
      <c r="S33" s="2"/>
      <c r="T33" s="2"/>
      <c r="U33" s="2"/>
    </row>
    <row r="34" spans="1:21" ht="23.1" customHeight="1" x14ac:dyDescent="0.25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N34" s="2"/>
      <c r="O34" s="2"/>
      <c r="P34" s="2"/>
      <c r="Q34" s="2"/>
      <c r="R34" s="2"/>
      <c r="S34" s="2"/>
      <c r="T34" s="2"/>
      <c r="U34" s="2"/>
    </row>
    <row r="35" spans="1:21" ht="23.1" customHeight="1" x14ac:dyDescent="0.25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N35" s="2"/>
      <c r="O35" s="2"/>
      <c r="P35" s="2"/>
      <c r="Q35" s="2"/>
      <c r="R35" s="2"/>
      <c r="S35" s="2"/>
      <c r="T35" s="2"/>
      <c r="U35" s="2"/>
    </row>
    <row r="36" spans="1:2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N36" s="2"/>
      <c r="O36" s="2"/>
      <c r="P36" s="2"/>
      <c r="Q36" s="2"/>
      <c r="R36" s="2"/>
      <c r="S36" s="2"/>
      <c r="T36" s="2"/>
      <c r="U36" s="2"/>
    </row>
    <row r="37" spans="1:21" ht="8.1" customHeight="1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N37" s="2"/>
      <c r="O37" s="2"/>
      <c r="P37" s="2"/>
      <c r="Q37" s="2"/>
      <c r="R37" s="2"/>
      <c r="S37" s="2"/>
      <c r="T37" s="2"/>
      <c r="U37" s="2"/>
    </row>
    <row r="38" spans="1:21" ht="21.95" customHeight="1" x14ac:dyDescent="0.25">
      <c r="A38" s="292" t="s">
        <v>350</v>
      </c>
      <c r="B38" s="292"/>
      <c r="C38" s="292"/>
      <c r="D38" s="292"/>
      <c r="E38" s="292"/>
      <c r="F38" s="292"/>
      <c r="G38" s="292"/>
      <c r="H38" s="292"/>
      <c r="I38" s="292"/>
      <c r="J38" s="292"/>
      <c r="K38" s="292"/>
      <c r="L38" s="292"/>
      <c r="N38" s="2"/>
      <c r="O38" s="2"/>
      <c r="P38" s="2"/>
      <c r="Q38" s="2"/>
      <c r="R38" s="2"/>
      <c r="S38" s="2"/>
      <c r="T38" s="2"/>
      <c r="U38" s="2"/>
    </row>
    <row r="39" spans="1:21" x14ac:dyDescent="0.25">
      <c r="A39" s="35" t="str">
        <f>IF(ISNUMBER('2. Antecedentes'!E26),"Esta opinión es válida hasta el "&amp;TEXT('2. Antecedentes'!E26,"dd \d\e mmmm \d\e yyyy")&amp;", salvo cambios en el inmueble, la operación o las condiciones de mercado.","")</f>
        <v/>
      </c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N39" s="2"/>
      <c r="O39" s="2"/>
      <c r="P39" s="2"/>
      <c r="Q39" s="2"/>
      <c r="R39" s="2"/>
      <c r="S39" s="2"/>
      <c r="T39" s="2"/>
      <c r="U39" s="2"/>
    </row>
    <row r="40" spans="1:21" x14ac:dyDescent="0.25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N40" s="2"/>
      <c r="O40" s="2"/>
      <c r="P40" s="2"/>
      <c r="Q40" s="2"/>
      <c r="R40" s="2"/>
      <c r="S40" s="2"/>
      <c r="T40" s="2"/>
      <c r="U40" s="2"/>
    </row>
    <row r="41" spans="1:2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N41" s="2"/>
      <c r="O41" s="2"/>
      <c r="P41" s="2"/>
      <c r="Q41" s="2"/>
      <c r="R41" s="2"/>
      <c r="S41" s="2"/>
      <c r="T41" s="2"/>
      <c r="U41" s="2"/>
    </row>
    <row r="42" spans="1:2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N42" s="2"/>
      <c r="O42" s="2"/>
      <c r="P42" s="2"/>
      <c r="Q42" s="2"/>
      <c r="R42" s="2"/>
      <c r="S42" s="2"/>
      <c r="T42" s="2"/>
      <c r="U42" s="2"/>
    </row>
    <row r="43" spans="1:2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N43" s="2"/>
      <c r="O43" s="2"/>
      <c r="P43" s="2"/>
      <c r="Q43" s="2"/>
      <c r="R43" s="2"/>
      <c r="S43" s="2"/>
      <c r="T43" s="2"/>
      <c r="U43" s="2"/>
    </row>
    <row r="44" spans="1:2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N44" s="2"/>
      <c r="O44" s="2"/>
      <c r="P44" s="2"/>
      <c r="Q44" s="2"/>
      <c r="R44" s="2"/>
      <c r="S44" s="2"/>
      <c r="T44" s="2"/>
      <c r="U44" s="2"/>
    </row>
    <row r="45" spans="1:2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N45" s="2"/>
      <c r="O45" s="2"/>
      <c r="P45" s="2"/>
      <c r="Q45" s="2"/>
      <c r="R45" s="2"/>
      <c r="S45" s="2"/>
      <c r="T45" s="2"/>
      <c r="U45" s="2"/>
    </row>
    <row r="46" spans="1:2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N46" s="2"/>
      <c r="O46" s="2"/>
      <c r="P46" s="2"/>
      <c r="Q46" s="2"/>
      <c r="R46" s="2"/>
      <c r="S46" s="2"/>
      <c r="T46" s="2"/>
      <c r="U46" s="2"/>
    </row>
    <row r="47" spans="1:2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N47" s="2"/>
      <c r="O47" s="2"/>
      <c r="P47" s="2"/>
      <c r="Q47" s="2"/>
      <c r="R47" s="2"/>
      <c r="S47" s="2"/>
      <c r="T47" s="2"/>
      <c r="U47" s="2"/>
    </row>
    <row r="48" spans="1:2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N48" s="2"/>
      <c r="O48" s="2"/>
      <c r="P48" s="2"/>
      <c r="Q48" s="2"/>
      <c r="R48" s="2"/>
      <c r="S48" s="2"/>
      <c r="T48" s="2"/>
      <c r="U48" s="2"/>
    </row>
    <row r="49" spans="1:2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N49" s="2"/>
      <c r="O49" s="2"/>
      <c r="P49" s="2"/>
      <c r="Q49" s="2"/>
      <c r="R49" s="2"/>
      <c r="S49" s="2"/>
      <c r="T49" s="2"/>
      <c r="U49" s="2"/>
    </row>
    <row r="50" spans="1:2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N50" s="2"/>
      <c r="O50" s="2"/>
      <c r="P50" s="2"/>
      <c r="Q50" s="2"/>
      <c r="R50" s="2"/>
      <c r="S50" s="2"/>
      <c r="T50" s="2"/>
      <c r="U50" s="2"/>
    </row>
    <row r="51" spans="1:2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N51" s="2"/>
      <c r="O51" s="2"/>
      <c r="P51" s="2"/>
      <c r="Q51" s="2"/>
      <c r="R51" s="2"/>
      <c r="S51" s="2"/>
      <c r="T51" s="2"/>
      <c r="U51" s="2"/>
    </row>
    <row r="52" spans="1:2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N52" s="2"/>
      <c r="O52" s="2"/>
      <c r="P52" s="2"/>
      <c r="Q52" s="2"/>
      <c r="R52" s="2"/>
      <c r="S52" s="2"/>
      <c r="T52" s="2"/>
      <c r="U52" s="2"/>
    </row>
    <row r="53" spans="1:2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N53" s="2"/>
      <c r="O53" s="2"/>
      <c r="P53" s="2"/>
      <c r="Q53" s="2"/>
      <c r="R53" s="2"/>
      <c r="S53" s="2"/>
      <c r="T53" s="2"/>
      <c r="U53" s="2"/>
    </row>
    <row r="54" spans="1:2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N54" s="2"/>
      <c r="O54" s="2"/>
      <c r="P54" s="2"/>
      <c r="Q54" s="2"/>
      <c r="R54" s="2"/>
      <c r="S54" s="2"/>
      <c r="T54" s="2"/>
      <c r="U54" s="2"/>
    </row>
    <row r="55" spans="1:2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N55" s="2"/>
      <c r="O55" s="2"/>
      <c r="P55" s="2"/>
      <c r="Q55" s="2"/>
      <c r="R55" s="2"/>
      <c r="S55" s="2"/>
      <c r="T55" s="2"/>
      <c r="U55" s="2"/>
    </row>
    <row r="56" spans="1:2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N56" s="2"/>
      <c r="O56" s="2"/>
      <c r="P56" s="2"/>
      <c r="Q56" s="2"/>
      <c r="R56" s="2"/>
      <c r="S56" s="2"/>
      <c r="T56" s="2"/>
      <c r="U56" s="2"/>
    </row>
    <row r="57" spans="1:2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N57" s="2"/>
      <c r="O57" s="2"/>
      <c r="P57" s="2"/>
      <c r="Q57" s="2"/>
      <c r="R57" s="2"/>
      <c r="S57" s="2"/>
      <c r="T57" s="2"/>
      <c r="U57" s="2"/>
    </row>
    <row r="58" spans="1:2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N58" s="2"/>
      <c r="O58" s="2"/>
      <c r="P58" s="2"/>
      <c r="Q58" s="2"/>
      <c r="R58" s="2"/>
      <c r="S58" s="2"/>
      <c r="T58" s="2"/>
      <c r="U58" s="2"/>
    </row>
    <row r="59" spans="1:2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N59" s="2"/>
      <c r="O59" s="2"/>
      <c r="P59" s="2"/>
      <c r="Q59" s="2"/>
      <c r="R59" s="2"/>
      <c r="S59" s="2"/>
      <c r="T59" s="2"/>
      <c r="U59" s="2"/>
    </row>
    <row r="60" spans="1:2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N60" s="2"/>
      <c r="O60" s="2"/>
      <c r="P60" s="2"/>
      <c r="Q60" s="2"/>
      <c r="R60" s="2"/>
      <c r="S60" s="2"/>
      <c r="T60" s="2"/>
      <c r="U60" s="2"/>
    </row>
    <row r="61" spans="1:21" x14ac:dyDescent="0.25">
      <c r="N61" s="2"/>
      <c r="O61" s="2"/>
      <c r="P61" s="2"/>
      <c r="Q61" s="2"/>
      <c r="R61" s="2"/>
      <c r="S61" s="2"/>
      <c r="T61" s="2"/>
      <c r="U61" s="2"/>
    </row>
    <row r="62" spans="1:21" x14ac:dyDescent="0.25">
      <c r="N62" s="2"/>
      <c r="O62" s="2"/>
      <c r="P62" s="2"/>
      <c r="Q62" s="2"/>
      <c r="R62" s="2"/>
      <c r="S62" s="2"/>
      <c r="T62" s="2"/>
      <c r="U62" s="2"/>
    </row>
    <row r="63" spans="1:21" x14ac:dyDescent="0.25">
      <c r="N63" s="2"/>
      <c r="O63" s="2"/>
      <c r="P63" s="2"/>
      <c r="Q63" s="2"/>
      <c r="R63" s="2"/>
      <c r="S63" s="2"/>
      <c r="T63" s="2"/>
      <c r="U63" s="2"/>
    </row>
    <row r="64" spans="1:21" x14ac:dyDescent="0.25">
      <c r="N64" s="2"/>
      <c r="O64" s="2"/>
      <c r="P64" s="2"/>
      <c r="Q64" s="2"/>
      <c r="R64" s="2"/>
      <c r="S64" s="2"/>
      <c r="T64" s="2"/>
      <c r="U64" s="2"/>
    </row>
    <row r="65" spans="14:21" x14ac:dyDescent="0.25">
      <c r="N65" s="2"/>
      <c r="O65" s="2"/>
      <c r="P65" s="2"/>
      <c r="Q65" s="2"/>
      <c r="R65" s="2"/>
      <c r="S65" s="2"/>
      <c r="T65" s="2"/>
      <c r="U65" s="2"/>
    </row>
    <row r="66" spans="14:21" x14ac:dyDescent="0.25">
      <c r="N66" s="2"/>
      <c r="O66" s="2"/>
      <c r="P66" s="2"/>
      <c r="Q66" s="2"/>
      <c r="R66" s="2"/>
      <c r="S66" s="2"/>
      <c r="T66" s="2"/>
      <c r="U66" s="2"/>
    </row>
    <row r="67" spans="14:21" x14ac:dyDescent="0.25">
      <c r="N67" s="2"/>
      <c r="O67" s="2"/>
      <c r="P67" s="2"/>
      <c r="Q67" s="2"/>
      <c r="R67" s="2"/>
      <c r="S67" s="2"/>
      <c r="T67" s="2"/>
      <c r="U67" s="2"/>
    </row>
    <row r="68" spans="14:21" x14ac:dyDescent="0.25">
      <c r="N68" s="2"/>
      <c r="O68" s="2"/>
      <c r="P68" s="2"/>
      <c r="Q68" s="2"/>
      <c r="R68" s="2"/>
      <c r="S68" s="2"/>
      <c r="T68" s="2"/>
      <c r="U68" s="2"/>
    </row>
    <row r="69" spans="14:21" x14ac:dyDescent="0.25">
      <c r="N69" s="2"/>
      <c r="O69" s="2"/>
      <c r="P69" s="2"/>
      <c r="Q69" s="2"/>
      <c r="R69" s="2"/>
      <c r="S69" s="2"/>
      <c r="T69" s="2"/>
      <c r="U69" s="2"/>
    </row>
    <row r="70" spans="14:21" x14ac:dyDescent="0.25">
      <c r="N70" s="2"/>
      <c r="O70" s="2"/>
      <c r="P70" s="2"/>
      <c r="Q70" s="2"/>
      <c r="R70" s="2"/>
      <c r="S70" s="2"/>
      <c r="T70" s="2"/>
      <c r="U70" s="2"/>
    </row>
    <row r="71" spans="14:21" x14ac:dyDescent="0.25">
      <c r="N71" s="2"/>
      <c r="O71" s="2"/>
      <c r="P71" s="2"/>
      <c r="Q71" s="2"/>
      <c r="R71" s="2"/>
      <c r="S71" s="2"/>
      <c r="T71" s="2"/>
      <c r="U71" s="2"/>
    </row>
    <row r="72" spans="14:21" x14ac:dyDescent="0.25">
      <c r="N72" s="2"/>
      <c r="O72" s="2"/>
      <c r="P72" s="2"/>
      <c r="Q72" s="2"/>
      <c r="R72" s="2"/>
      <c r="S72" s="2"/>
      <c r="T72" s="2"/>
      <c r="U72" s="2"/>
    </row>
    <row r="73" spans="14:21" x14ac:dyDescent="0.25">
      <c r="N73" s="2"/>
      <c r="O73" s="2"/>
      <c r="P73" s="2"/>
      <c r="Q73" s="2"/>
      <c r="R73" s="2"/>
      <c r="S73" s="2"/>
      <c r="T73" s="2"/>
      <c r="U73" s="2"/>
    </row>
    <row r="74" spans="14:21" x14ac:dyDescent="0.25">
      <c r="N74" s="2"/>
      <c r="O74" s="2"/>
      <c r="P74" s="2"/>
      <c r="Q74" s="2"/>
      <c r="R74" s="2"/>
      <c r="S74" s="2"/>
      <c r="T74" s="2"/>
      <c r="U74" s="2"/>
    </row>
    <row r="75" spans="14:21" x14ac:dyDescent="0.25">
      <c r="N75" s="2"/>
      <c r="O75" s="2"/>
      <c r="P75" s="2"/>
      <c r="Q75" s="2"/>
      <c r="R75" s="2"/>
      <c r="S75" s="2"/>
      <c r="T75" s="2"/>
      <c r="U75" s="2"/>
    </row>
    <row r="76" spans="14:21" x14ac:dyDescent="0.25">
      <c r="N76" s="2"/>
      <c r="O76" s="2"/>
      <c r="P76" s="2"/>
      <c r="Q76" s="2"/>
      <c r="R76" s="2"/>
      <c r="S76" s="2"/>
      <c r="T76" s="2"/>
      <c r="U76" s="2"/>
    </row>
    <row r="77" spans="14:21" x14ac:dyDescent="0.25">
      <c r="N77" s="2"/>
      <c r="O77" s="2"/>
      <c r="P77" s="2"/>
      <c r="Q77" s="2"/>
      <c r="R77" s="2"/>
      <c r="S77" s="2"/>
      <c r="T77" s="2"/>
      <c r="U77" s="2"/>
    </row>
    <row r="78" spans="14:21" x14ac:dyDescent="0.25">
      <c r="N78" s="2"/>
      <c r="O78" s="2"/>
      <c r="P78" s="2"/>
      <c r="Q78" s="2"/>
      <c r="R78" s="2"/>
      <c r="S78" s="2"/>
      <c r="T78" s="2"/>
      <c r="U78" s="2"/>
    </row>
    <row r="79" spans="14:21" x14ac:dyDescent="0.25">
      <c r="N79" s="2"/>
      <c r="O79" s="2"/>
      <c r="P79" s="2"/>
      <c r="Q79" s="2"/>
      <c r="R79" s="2"/>
      <c r="S79" s="2"/>
      <c r="T79" s="2"/>
      <c r="U79" s="2"/>
    </row>
    <row r="80" spans="14:21" x14ac:dyDescent="0.25">
      <c r="N80" s="2"/>
      <c r="O80" s="2"/>
      <c r="P80" s="2"/>
      <c r="Q80" s="2"/>
      <c r="R80" s="2"/>
      <c r="S80" s="2"/>
      <c r="T80" s="2"/>
      <c r="U80" s="2"/>
    </row>
    <row r="81" spans="14:21" x14ac:dyDescent="0.25">
      <c r="N81" s="2"/>
      <c r="O81" s="2"/>
      <c r="P81" s="2"/>
      <c r="Q81" s="2"/>
      <c r="R81" s="2"/>
      <c r="S81" s="2"/>
      <c r="T81" s="2"/>
      <c r="U81" s="2"/>
    </row>
    <row r="82" spans="14:21" x14ac:dyDescent="0.25">
      <c r="N82" s="2"/>
      <c r="O82" s="2"/>
      <c r="P82" s="2"/>
      <c r="Q82" s="2"/>
      <c r="R82" s="2"/>
      <c r="S82" s="2"/>
      <c r="T82" s="2"/>
      <c r="U82" s="2"/>
    </row>
    <row r="83" spans="14:21" x14ac:dyDescent="0.25">
      <c r="N83" s="2"/>
      <c r="O83" s="2"/>
      <c r="P83" s="2"/>
      <c r="Q83" s="2"/>
      <c r="R83" s="2"/>
      <c r="S83" s="2"/>
      <c r="T83" s="2"/>
      <c r="U83" s="2"/>
    </row>
    <row r="84" spans="14:21" x14ac:dyDescent="0.25">
      <c r="N84" s="2"/>
      <c r="O84" s="2"/>
      <c r="P84" s="2"/>
      <c r="Q84" s="2"/>
      <c r="R84" s="2"/>
      <c r="S84" s="2"/>
      <c r="T84" s="2"/>
      <c r="U84" s="2"/>
    </row>
    <row r="85" spans="14:21" x14ac:dyDescent="0.25">
      <c r="N85" s="2"/>
      <c r="O85" s="2"/>
      <c r="P85" s="2"/>
      <c r="Q85" s="2"/>
      <c r="R85" s="2"/>
      <c r="S85" s="2"/>
      <c r="T85" s="2"/>
      <c r="U85" s="2"/>
    </row>
    <row r="86" spans="14:21" x14ac:dyDescent="0.25">
      <c r="N86" s="2"/>
      <c r="O86" s="2"/>
      <c r="P86" s="2"/>
      <c r="Q86" s="2"/>
      <c r="R86" s="2"/>
      <c r="S86" s="2"/>
      <c r="T86" s="2"/>
      <c r="U86" s="2"/>
    </row>
    <row r="87" spans="14:21" x14ac:dyDescent="0.25">
      <c r="N87" s="2"/>
      <c r="O87" s="2"/>
      <c r="P87" s="2"/>
      <c r="Q87" s="2"/>
      <c r="R87" s="2"/>
      <c r="S87" s="2"/>
      <c r="T87" s="2"/>
      <c r="U87" s="2"/>
    </row>
    <row r="88" spans="14:21" x14ac:dyDescent="0.25">
      <c r="N88" s="2"/>
      <c r="O88" s="2"/>
      <c r="P88" s="2"/>
      <c r="Q88" s="2"/>
      <c r="R88" s="2"/>
      <c r="S88" s="2"/>
      <c r="T88" s="2"/>
      <c r="U88" s="2"/>
    </row>
    <row r="89" spans="14:21" x14ac:dyDescent="0.25">
      <c r="N89" s="2"/>
      <c r="O89" s="2"/>
      <c r="P89" s="2"/>
      <c r="Q89" s="2"/>
      <c r="R89" s="2"/>
      <c r="S89" s="2"/>
      <c r="T89" s="2"/>
      <c r="U89" s="2"/>
    </row>
    <row r="90" spans="14:21" x14ac:dyDescent="0.25">
      <c r="N90" s="2"/>
      <c r="O90" s="2"/>
      <c r="P90" s="2"/>
      <c r="Q90" s="2"/>
      <c r="R90" s="2"/>
      <c r="S90" s="2"/>
      <c r="T90" s="2"/>
      <c r="U90" s="2"/>
    </row>
    <row r="91" spans="14:21" x14ac:dyDescent="0.25">
      <c r="N91" s="2"/>
      <c r="O91" s="2"/>
      <c r="P91" s="2"/>
      <c r="Q91" s="2"/>
      <c r="R91" s="2"/>
      <c r="S91" s="2"/>
      <c r="T91" s="2"/>
      <c r="U91" s="2"/>
    </row>
    <row r="92" spans="14:21" x14ac:dyDescent="0.25">
      <c r="N92" s="2"/>
      <c r="O92" s="2"/>
      <c r="P92" s="2"/>
      <c r="Q92" s="2"/>
      <c r="R92" s="2"/>
      <c r="S92" s="2"/>
      <c r="T92" s="2"/>
      <c r="U92" s="2"/>
    </row>
    <row r="93" spans="14:21" x14ac:dyDescent="0.25">
      <c r="N93" s="2"/>
      <c r="O93" s="2"/>
      <c r="P93" s="2"/>
      <c r="Q93" s="2"/>
      <c r="R93" s="2"/>
      <c r="S93" s="2"/>
      <c r="T93" s="2"/>
      <c r="U93" s="2"/>
    </row>
    <row r="94" spans="14:21" x14ac:dyDescent="0.25">
      <c r="N94" s="2"/>
      <c r="O94" s="2"/>
      <c r="P94" s="2"/>
      <c r="Q94" s="2"/>
      <c r="R94" s="2"/>
      <c r="S94" s="2"/>
      <c r="T94" s="2"/>
      <c r="U94" s="2"/>
    </row>
    <row r="95" spans="14:21" x14ac:dyDescent="0.25">
      <c r="N95" s="2"/>
      <c r="O95" s="2"/>
      <c r="P95" s="2"/>
      <c r="Q95" s="2"/>
      <c r="R95" s="2"/>
      <c r="S95" s="2"/>
      <c r="T95" s="2"/>
      <c r="U95" s="2"/>
    </row>
    <row r="96" spans="14:21" x14ac:dyDescent="0.25">
      <c r="N96" s="2"/>
      <c r="O96" s="2"/>
      <c r="P96" s="2"/>
      <c r="Q96" s="2"/>
      <c r="R96" s="2"/>
      <c r="S96" s="2"/>
      <c r="T96" s="2"/>
      <c r="U96" s="2"/>
    </row>
    <row r="97" spans="14:21" x14ac:dyDescent="0.25">
      <c r="N97" s="2"/>
      <c r="O97" s="2"/>
      <c r="P97" s="2"/>
      <c r="Q97" s="2"/>
      <c r="R97" s="2"/>
      <c r="S97" s="2"/>
      <c r="T97" s="2"/>
      <c r="U97" s="2"/>
    </row>
    <row r="98" spans="14:21" x14ac:dyDescent="0.25">
      <c r="N98" s="2"/>
      <c r="O98" s="2"/>
      <c r="P98" s="2"/>
      <c r="Q98" s="2"/>
      <c r="R98" s="2"/>
      <c r="S98" s="2"/>
      <c r="T98" s="2"/>
      <c r="U98" s="2"/>
    </row>
    <row r="99" spans="14:21" x14ac:dyDescent="0.25">
      <c r="N99" s="2"/>
      <c r="O99" s="2"/>
      <c r="P99" s="2"/>
      <c r="Q99" s="2"/>
      <c r="R99" s="2"/>
      <c r="S99" s="2"/>
      <c r="T99" s="2"/>
      <c r="U99" s="2"/>
    </row>
    <row r="100" spans="14:21" x14ac:dyDescent="0.25">
      <c r="N100" s="2"/>
      <c r="O100" s="2"/>
      <c r="P100" s="2"/>
      <c r="Q100" s="2"/>
      <c r="R100" s="2"/>
      <c r="S100" s="2"/>
      <c r="T100" s="2"/>
      <c r="U100" s="2"/>
    </row>
    <row r="101" spans="14:21" x14ac:dyDescent="0.25">
      <c r="N101" s="2"/>
      <c r="O101" s="2"/>
      <c r="P101" s="2"/>
      <c r="Q101" s="2"/>
      <c r="R101" s="2"/>
      <c r="S101" s="2"/>
      <c r="T101" s="2"/>
      <c r="U101" s="2"/>
    </row>
    <row r="102" spans="14:21" x14ac:dyDescent="0.25">
      <c r="N102" s="2"/>
      <c r="O102" s="2"/>
      <c r="P102" s="2"/>
      <c r="Q102" s="2"/>
      <c r="R102" s="2"/>
      <c r="S102" s="2"/>
      <c r="T102" s="2"/>
      <c r="U102" s="2"/>
    </row>
    <row r="103" spans="14:21" x14ac:dyDescent="0.25">
      <c r="N103" s="2"/>
      <c r="O103" s="2"/>
      <c r="P103" s="2"/>
      <c r="Q103" s="2"/>
      <c r="R103" s="2"/>
      <c r="S103" s="2"/>
      <c r="T103" s="2"/>
      <c r="U103" s="2"/>
    </row>
    <row r="104" spans="14:21" x14ac:dyDescent="0.25">
      <c r="N104" s="2"/>
      <c r="O104" s="2"/>
      <c r="P104" s="2"/>
      <c r="Q104" s="2"/>
      <c r="R104" s="2"/>
      <c r="S104" s="2"/>
      <c r="T104" s="2"/>
      <c r="U104" s="2"/>
    </row>
    <row r="105" spans="14:21" x14ac:dyDescent="0.25">
      <c r="N105" s="2"/>
      <c r="O105" s="2"/>
      <c r="P105" s="2"/>
      <c r="Q105" s="2"/>
      <c r="R105" s="2"/>
      <c r="S105" s="2"/>
      <c r="T105" s="2"/>
      <c r="U105" s="2"/>
    </row>
    <row r="106" spans="14:21" x14ac:dyDescent="0.25">
      <c r="N106" s="2"/>
      <c r="O106" s="2"/>
      <c r="P106" s="2"/>
      <c r="Q106" s="2"/>
      <c r="R106" s="2"/>
      <c r="S106" s="2"/>
      <c r="T106" s="2"/>
      <c r="U106" s="2"/>
    </row>
    <row r="107" spans="14:21" x14ac:dyDescent="0.25">
      <c r="N107" s="2"/>
      <c r="O107" s="2"/>
      <c r="P107" s="2"/>
      <c r="Q107" s="2"/>
      <c r="R107" s="2"/>
      <c r="S107" s="2"/>
      <c r="T107" s="2"/>
      <c r="U107" s="2"/>
    </row>
    <row r="108" spans="14:21" x14ac:dyDescent="0.25">
      <c r="N108" s="2"/>
      <c r="O108" s="2"/>
      <c r="P108" s="2"/>
      <c r="Q108" s="2"/>
      <c r="R108" s="2"/>
      <c r="S108" s="2"/>
      <c r="T108" s="2"/>
      <c r="U108" s="2"/>
    </row>
    <row r="109" spans="14:21" x14ac:dyDescent="0.25">
      <c r="N109" s="2"/>
      <c r="O109" s="2"/>
      <c r="P109" s="2"/>
      <c r="Q109" s="2"/>
      <c r="R109" s="2"/>
      <c r="S109" s="2"/>
      <c r="T109" s="2"/>
      <c r="U109" s="2"/>
    </row>
    <row r="110" spans="14:21" x14ac:dyDescent="0.25">
      <c r="N110" s="2"/>
      <c r="O110" s="2"/>
      <c r="P110" s="2"/>
      <c r="Q110" s="2"/>
      <c r="R110" s="2"/>
      <c r="S110" s="2"/>
      <c r="T110" s="2"/>
      <c r="U110" s="2"/>
    </row>
    <row r="111" spans="14:21" x14ac:dyDescent="0.25">
      <c r="N111" s="2"/>
      <c r="O111" s="2"/>
      <c r="P111" s="2"/>
      <c r="Q111" s="2"/>
      <c r="R111" s="2"/>
      <c r="S111" s="2"/>
      <c r="T111" s="2"/>
      <c r="U111" s="2"/>
    </row>
    <row r="112" spans="14:21" x14ac:dyDescent="0.25">
      <c r="N112" s="2"/>
      <c r="O112" s="2"/>
      <c r="P112" s="2"/>
      <c r="Q112" s="2"/>
      <c r="R112" s="2"/>
      <c r="S112" s="2"/>
      <c r="T112" s="2"/>
      <c r="U112" s="2"/>
    </row>
    <row r="113" spans="14:21" x14ac:dyDescent="0.25">
      <c r="N113" s="2"/>
      <c r="O113" s="2"/>
      <c r="P113" s="2"/>
      <c r="Q113" s="2"/>
      <c r="R113" s="2"/>
      <c r="S113" s="2"/>
      <c r="T113" s="2"/>
      <c r="U113" s="2"/>
    </row>
    <row r="114" spans="14:21" x14ac:dyDescent="0.25">
      <c r="N114" s="2"/>
      <c r="O114" s="2"/>
      <c r="P114" s="2"/>
      <c r="Q114" s="2"/>
      <c r="R114" s="2"/>
      <c r="S114" s="2"/>
      <c r="T114" s="2"/>
      <c r="U114" s="2"/>
    </row>
    <row r="115" spans="14:21" x14ac:dyDescent="0.25">
      <c r="N115" s="2"/>
      <c r="O115" s="2"/>
      <c r="P115" s="2"/>
      <c r="Q115" s="2"/>
      <c r="R115" s="2"/>
      <c r="S115" s="2"/>
      <c r="T115" s="2"/>
      <c r="U115" s="2"/>
    </row>
  </sheetData>
  <mergeCells count="55">
    <mergeCell ref="A27:G27"/>
    <mergeCell ref="H27:L27"/>
    <mergeCell ref="A29:L29"/>
    <mergeCell ref="A30:L35"/>
    <mergeCell ref="A25:G25"/>
    <mergeCell ref="H25:I25"/>
    <mergeCell ref="J25:L25"/>
    <mergeCell ref="A26:G26"/>
    <mergeCell ref="H26:I26"/>
    <mergeCell ref="J26:L26"/>
    <mergeCell ref="A28:L28"/>
    <mergeCell ref="A22:L22"/>
    <mergeCell ref="A23:G23"/>
    <mergeCell ref="H23:I23"/>
    <mergeCell ref="J23:L23"/>
    <mergeCell ref="A24:G24"/>
    <mergeCell ref="H24:I24"/>
    <mergeCell ref="J24:L24"/>
    <mergeCell ref="A19:C19"/>
    <mergeCell ref="D19:F19"/>
    <mergeCell ref="G19:H19"/>
    <mergeCell ref="I19:L19"/>
    <mergeCell ref="A20:C20"/>
    <mergeCell ref="D20:F20"/>
    <mergeCell ref="G20:H20"/>
    <mergeCell ref="I20:L20"/>
    <mergeCell ref="A17:L17"/>
    <mergeCell ref="A18:C18"/>
    <mergeCell ref="D18:F18"/>
    <mergeCell ref="G18:H18"/>
    <mergeCell ref="I18:L18"/>
    <mergeCell ref="A14:C14"/>
    <mergeCell ref="D14:F14"/>
    <mergeCell ref="G14:H14"/>
    <mergeCell ref="I14:L14"/>
    <mergeCell ref="A15:C15"/>
    <mergeCell ref="D15:F15"/>
    <mergeCell ref="G15:H15"/>
    <mergeCell ref="I15:L15"/>
    <mergeCell ref="A38:L38"/>
    <mergeCell ref="A39:L40"/>
    <mergeCell ref="C2:H2"/>
    <mergeCell ref="I2:L3"/>
    <mergeCell ref="C3:H3"/>
    <mergeCell ref="A5:L5"/>
    <mergeCell ref="A7:L7"/>
    <mergeCell ref="A9:L9"/>
    <mergeCell ref="A10:C10"/>
    <mergeCell ref="D10:L10"/>
    <mergeCell ref="A11:C11"/>
    <mergeCell ref="D11:L11"/>
    <mergeCell ref="A12:C12"/>
    <mergeCell ref="D12:L12"/>
    <mergeCell ref="A13:C13"/>
    <mergeCell ref="D13:L13"/>
  </mergeCells>
  <hyperlinks>
    <hyperlink ref="N5" location="'Índice'!N7" tooltip="Abrir guía de uso" display="GUÍA DE USO" xr:uid="{C7665817-D5B5-4924-993F-B10E121B3467}"/>
    <hyperlink ref="N6" location="'1. Resumen'!A1" tooltip="Volver al informe" display="VOLVER AL INFORME" xr:uid="{9BC644C6-AF41-4887-B449-3204CCF5E1CC}"/>
  </hyperlinks>
  <printOptions horizontalCentered="1"/>
  <pageMargins left="0.28000000000000003" right="0.28000000000000003" top="0.4" bottom="0.5" header="0.25" footer="0.25"/>
  <pageSetup scale="93" orientation="portrait" r:id="rId1"/>
  <headerFooter>
    <oddFooter>&amp;C&amp;"Arial"&amp;8&amp;K6B7280&amp;P/&amp;F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F6B4E"/>
    <pageSetUpPr fitToPage="1"/>
  </sheetPr>
  <dimension ref="A1:U115"/>
  <sheetViews>
    <sheetView showGridLines="0" view="pageBreakPreview" zoomScale="60" zoomScaleNormal="100" workbookViewId="0">
      <selection activeCell="A43" sqref="A43:L43"/>
    </sheetView>
  </sheetViews>
  <sheetFormatPr baseColWidth="10" defaultColWidth="9.140625" defaultRowHeight="15" x14ac:dyDescent="0.25"/>
  <cols>
    <col min="1" max="12" width="9" customWidth="1"/>
    <col min="13" max="13" width="3" customWidth="1"/>
    <col min="14" max="21" width="18" customWidth="1"/>
  </cols>
  <sheetData>
    <row r="1" spans="1:2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N1" s="2"/>
      <c r="O1" s="2"/>
      <c r="P1" s="2"/>
      <c r="Q1" s="2"/>
      <c r="R1" s="2"/>
      <c r="S1" s="2"/>
      <c r="T1" s="2"/>
      <c r="U1" s="2"/>
    </row>
    <row r="2" spans="1:21" ht="18" customHeight="1" x14ac:dyDescent="0.25">
      <c r="A2" s="11"/>
      <c r="B2" s="11"/>
      <c r="C2" s="21"/>
      <c r="D2" s="21"/>
      <c r="E2" s="21"/>
      <c r="F2" s="21"/>
      <c r="G2" s="21"/>
      <c r="H2" s="21"/>
      <c r="I2" s="8" t="str">
        <f>"Opinión de valor comercial"&amp;IF('2. Antecedentes'!$Q$9&lt;&gt;"",CHAR(10)&amp;"Folio "&amp;'2. Antecedentes'!$Q$9,"")</f>
        <v>Opinión de valor comercial</v>
      </c>
      <c r="J2" s="22"/>
      <c r="K2" s="22"/>
      <c r="L2" s="22"/>
      <c r="M2" s="23"/>
      <c r="N2" s="24"/>
      <c r="O2" s="24"/>
      <c r="P2" s="24"/>
      <c r="Q2" s="24"/>
      <c r="R2" s="24"/>
      <c r="S2" s="24"/>
      <c r="T2" s="24"/>
      <c r="U2" s="24"/>
    </row>
    <row r="3" spans="1:21" ht="12" customHeight="1" x14ac:dyDescent="0.25">
      <c r="A3" s="11"/>
      <c r="B3" s="11"/>
      <c r="C3" s="25"/>
      <c r="D3" s="25"/>
      <c r="E3" s="25"/>
      <c r="F3" s="25"/>
      <c r="G3" s="25"/>
      <c r="H3" s="25"/>
      <c r="I3" s="22"/>
      <c r="J3" s="22"/>
      <c r="K3" s="22"/>
      <c r="L3" s="22"/>
      <c r="M3" s="23"/>
      <c r="N3" s="24"/>
      <c r="O3" s="24"/>
      <c r="P3" s="24"/>
      <c r="Q3" s="24"/>
      <c r="R3" s="24"/>
      <c r="S3" s="24"/>
      <c r="T3" s="24"/>
      <c r="U3" s="24"/>
    </row>
    <row r="4" spans="1:21" ht="8.1" customHeight="1" thickBot="1" x14ac:dyDescent="0.3">
      <c r="A4" s="350"/>
      <c r="B4" s="350"/>
      <c r="C4" s="350"/>
      <c r="D4" s="26"/>
      <c r="E4" s="26"/>
      <c r="F4" s="26"/>
      <c r="G4" s="26"/>
      <c r="H4" s="26"/>
      <c r="I4" s="26"/>
      <c r="J4" s="26"/>
      <c r="K4" s="26"/>
      <c r="L4" s="26"/>
      <c r="M4" s="23"/>
      <c r="N4" s="24"/>
      <c r="O4" s="24"/>
      <c r="P4" s="24"/>
      <c r="Q4" s="24"/>
      <c r="R4" s="24"/>
      <c r="S4" s="24"/>
      <c r="T4" s="24"/>
      <c r="U4" s="24"/>
    </row>
    <row r="5" spans="1:21" ht="3" customHeight="1" x14ac:dyDescent="0.2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3"/>
      <c r="N5" s="68"/>
      <c r="O5" s="24"/>
      <c r="P5" s="24"/>
      <c r="Q5" s="24"/>
      <c r="R5" s="24"/>
      <c r="S5" s="24"/>
      <c r="T5" s="24"/>
      <c r="U5" s="24"/>
    </row>
    <row r="6" spans="1:21" ht="6.95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23"/>
      <c r="N6" s="68"/>
      <c r="O6" s="24"/>
      <c r="P6" s="24"/>
      <c r="Q6" s="24"/>
      <c r="R6" s="24"/>
      <c r="S6" s="24"/>
      <c r="T6" s="24"/>
      <c r="U6" s="24"/>
    </row>
    <row r="7" spans="1:21" ht="21.95" customHeight="1" x14ac:dyDescent="0.25">
      <c r="A7" s="28" t="s">
        <v>44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3"/>
      <c r="N7" s="29" t="s">
        <v>319</v>
      </c>
      <c r="O7" s="29"/>
      <c r="P7" s="29"/>
      <c r="Q7" s="29"/>
      <c r="R7" s="29"/>
      <c r="S7" s="29"/>
      <c r="T7" s="29"/>
      <c r="U7" s="29"/>
    </row>
    <row r="8" spans="1:21" ht="6.95" customHeight="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23"/>
      <c r="N8" s="24"/>
      <c r="O8" s="24"/>
      <c r="P8" s="24"/>
      <c r="Q8" s="24"/>
      <c r="R8" s="24"/>
      <c r="S8" s="24"/>
      <c r="T8" s="24"/>
      <c r="U8" s="24"/>
    </row>
    <row r="9" spans="1:21" ht="16.5" customHeight="1" x14ac:dyDescent="0.25">
      <c r="A9" s="293" t="s">
        <v>45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70"/>
      <c r="M9" s="23"/>
      <c r="N9" s="35" t="s">
        <v>212</v>
      </c>
      <c r="O9" s="35"/>
      <c r="P9" s="35"/>
      <c r="Q9" s="71"/>
      <c r="R9" s="71"/>
      <c r="S9" s="71"/>
      <c r="T9" s="71"/>
      <c r="U9" s="71"/>
    </row>
    <row r="10" spans="1:21" ht="16.5" customHeight="1" x14ac:dyDescent="0.25">
      <c r="A10" s="298" t="s">
        <v>20</v>
      </c>
      <c r="B10" s="73"/>
      <c r="C10" s="73"/>
      <c r="D10" s="73"/>
      <c r="E10" s="74"/>
      <c r="F10" s="74"/>
      <c r="G10" s="74"/>
      <c r="H10" s="74"/>
      <c r="I10" s="74"/>
      <c r="J10" s="74"/>
      <c r="K10" s="74"/>
      <c r="L10" s="75"/>
      <c r="M10" s="23"/>
      <c r="N10" s="35" t="s">
        <v>213</v>
      </c>
      <c r="O10" s="35"/>
      <c r="P10" s="35"/>
      <c r="Q10" s="76"/>
      <c r="R10" s="76"/>
      <c r="S10" s="76"/>
      <c r="T10" s="76"/>
      <c r="U10" s="76"/>
    </row>
    <row r="11" spans="1:21" ht="16.5" customHeight="1" x14ac:dyDescent="0.25">
      <c r="A11" s="72" t="s">
        <v>46</v>
      </c>
      <c r="B11" s="73"/>
      <c r="C11" s="73"/>
      <c r="D11" s="73"/>
      <c r="E11" s="74"/>
      <c r="F11" s="74"/>
      <c r="G11" s="74"/>
      <c r="H11" s="74"/>
      <c r="I11" s="74"/>
      <c r="J11" s="74"/>
      <c r="K11" s="74"/>
      <c r="L11" s="75"/>
      <c r="M11" s="23"/>
      <c r="N11" s="35" t="s">
        <v>214</v>
      </c>
      <c r="O11" s="35"/>
      <c r="P11" s="35"/>
      <c r="Q11" s="71" t="s">
        <v>215</v>
      </c>
      <c r="R11" s="71"/>
      <c r="S11" s="71"/>
      <c r="T11" s="71"/>
      <c r="U11" s="71"/>
    </row>
    <row r="12" spans="1:21" ht="16.5" customHeight="1" x14ac:dyDescent="0.25">
      <c r="A12" s="72" t="s">
        <v>47</v>
      </c>
      <c r="B12" s="73"/>
      <c r="C12" s="73"/>
      <c r="D12" s="73"/>
      <c r="E12" s="74"/>
      <c r="F12" s="74"/>
      <c r="G12" s="74"/>
      <c r="H12" s="74"/>
      <c r="I12" s="74"/>
      <c r="J12" s="74"/>
      <c r="K12" s="74"/>
      <c r="L12" s="75"/>
      <c r="M12" s="23"/>
      <c r="N12" s="35" t="s">
        <v>183</v>
      </c>
      <c r="O12" s="35"/>
      <c r="P12" s="35"/>
      <c r="Q12" s="71" t="s">
        <v>216</v>
      </c>
      <c r="R12" s="71"/>
      <c r="S12" s="71"/>
      <c r="T12" s="71"/>
      <c r="U12" s="71"/>
    </row>
    <row r="13" spans="1:21" ht="16.5" customHeight="1" x14ac:dyDescent="0.25">
      <c r="A13" s="72" t="s">
        <v>48</v>
      </c>
      <c r="B13" s="73"/>
      <c r="C13" s="73"/>
      <c r="D13" s="73"/>
      <c r="E13" s="74"/>
      <c r="F13" s="74"/>
      <c r="G13" s="74"/>
      <c r="H13" s="74"/>
      <c r="I13" s="74"/>
      <c r="J13" s="74"/>
      <c r="K13" s="74"/>
      <c r="L13" s="75"/>
      <c r="M13" s="23"/>
      <c r="N13" s="35" t="s">
        <v>217</v>
      </c>
      <c r="O13" s="35"/>
      <c r="P13" s="35"/>
      <c r="Q13" s="71"/>
      <c r="R13" s="71"/>
      <c r="S13" s="71"/>
      <c r="T13" s="71"/>
      <c r="U13" s="71"/>
    </row>
    <row r="14" spans="1:21" ht="16.5" customHeight="1" x14ac:dyDescent="0.25">
      <c r="A14" s="72" t="s">
        <v>49</v>
      </c>
      <c r="B14" s="73"/>
      <c r="C14" s="73"/>
      <c r="D14" s="73"/>
      <c r="E14" s="74"/>
      <c r="F14" s="74"/>
      <c r="G14" s="74"/>
      <c r="H14" s="74"/>
      <c r="I14" s="74"/>
      <c r="J14" s="74"/>
      <c r="K14" s="74"/>
      <c r="L14" s="75"/>
      <c r="M14" s="23"/>
      <c r="N14" s="35" t="s">
        <v>218</v>
      </c>
      <c r="O14" s="35"/>
      <c r="P14" s="35"/>
      <c r="Q14" s="77">
        <v>1</v>
      </c>
      <c r="R14" s="77"/>
      <c r="S14" s="77"/>
      <c r="T14" s="77"/>
      <c r="U14" s="77"/>
    </row>
    <row r="15" spans="1:21" ht="16.5" customHeight="1" x14ac:dyDescent="0.25">
      <c r="A15" s="72" t="s">
        <v>23</v>
      </c>
      <c r="B15" s="73"/>
      <c r="C15" s="73"/>
      <c r="D15" s="73"/>
      <c r="E15" s="74"/>
      <c r="F15" s="74"/>
      <c r="G15" s="74"/>
      <c r="H15" s="74"/>
      <c r="I15" s="74"/>
      <c r="J15" s="74"/>
      <c r="K15" s="74"/>
      <c r="L15" s="75"/>
      <c r="M15" s="23"/>
      <c r="N15" s="35" t="s">
        <v>219</v>
      </c>
      <c r="O15" s="35"/>
      <c r="P15" s="35"/>
      <c r="Q15" s="71" t="s">
        <v>220</v>
      </c>
      <c r="R15" s="71"/>
      <c r="S15" s="71"/>
      <c r="T15" s="71"/>
      <c r="U15" s="71"/>
    </row>
    <row r="16" spans="1:21" ht="16.5" customHeight="1" x14ac:dyDescent="0.25">
      <c r="A16" s="72" t="s">
        <v>24</v>
      </c>
      <c r="B16" s="73"/>
      <c r="C16" s="73"/>
      <c r="D16" s="73"/>
      <c r="E16" s="74"/>
      <c r="F16" s="74"/>
      <c r="G16" s="74"/>
      <c r="H16" s="74"/>
      <c r="I16" s="74"/>
      <c r="J16" s="74"/>
      <c r="K16" s="74"/>
      <c r="L16" s="75"/>
      <c r="M16" s="23"/>
      <c r="N16" s="35" t="s">
        <v>221</v>
      </c>
      <c r="O16" s="35"/>
      <c r="P16" s="35"/>
      <c r="Q16" s="78"/>
      <c r="R16" s="78"/>
      <c r="S16" s="78"/>
      <c r="T16" s="78"/>
      <c r="U16" s="78"/>
    </row>
    <row r="17" spans="1:21" ht="27.95" customHeight="1" x14ac:dyDescent="0.25">
      <c r="A17" s="72" t="s">
        <v>50</v>
      </c>
      <c r="B17" s="73"/>
      <c r="C17" s="73"/>
      <c r="D17" s="73"/>
      <c r="E17" s="74"/>
      <c r="F17" s="74"/>
      <c r="G17" s="74"/>
      <c r="H17" s="74"/>
      <c r="I17" s="74"/>
      <c r="J17" s="74"/>
      <c r="K17" s="74"/>
      <c r="L17" s="75"/>
      <c r="M17" s="23"/>
      <c r="N17" s="35" t="s">
        <v>222</v>
      </c>
      <c r="O17" s="35"/>
      <c r="P17" s="35"/>
      <c r="Q17" s="76"/>
      <c r="R17" s="76"/>
      <c r="S17" s="76"/>
      <c r="T17" s="76"/>
      <c r="U17" s="76"/>
    </row>
    <row r="18" spans="1:21" ht="16.5" customHeight="1" x14ac:dyDescent="0.25">
      <c r="A18" s="79" t="s">
        <v>51</v>
      </c>
      <c r="B18" s="80"/>
      <c r="C18" s="80"/>
      <c r="D18" s="80"/>
      <c r="E18" s="81"/>
      <c r="F18" s="81"/>
      <c r="G18" s="81"/>
      <c r="H18" s="81"/>
      <c r="I18" s="81"/>
      <c r="J18" s="81"/>
      <c r="K18" s="81"/>
      <c r="L18" s="82"/>
      <c r="M18" s="23"/>
      <c r="N18" s="35" t="s">
        <v>223</v>
      </c>
      <c r="O18" s="35"/>
      <c r="P18" s="35"/>
      <c r="Q18" s="71"/>
      <c r="R18" s="71"/>
      <c r="S18" s="71"/>
      <c r="T18" s="71"/>
      <c r="U18" s="71"/>
    </row>
    <row r="19" spans="1:21" ht="6.95" customHeight="1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23"/>
      <c r="N19" s="35" t="s">
        <v>224</v>
      </c>
      <c r="O19" s="35"/>
      <c r="P19" s="35"/>
      <c r="Q19" s="71"/>
      <c r="R19" s="71"/>
      <c r="S19" s="71"/>
      <c r="T19" s="71"/>
      <c r="U19" s="71"/>
    </row>
    <row r="20" spans="1:21" ht="16.5" customHeight="1" x14ac:dyDescent="0.25">
      <c r="A20" s="293" t="s">
        <v>52</v>
      </c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70"/>
      <c r="M20" s="23"/>
      <c r="N20" s="35" t="s">
        <v>225</v>
      </c>
      <c r="O20" s="35"/>
      <c r="P20" s="35"/>
      <c r="Q20" s="71"/>
      <c r="R20" s="71"/>
      <c r="S20" s="71"/>
      <c r="T20" s="71"/>
      <c r="U20" s="71"/>
    </row>
    <row r="21" spans="1:21" ht="16.5" customHeight="1" x14ac:dyDescent="0.25">
      <c r="A21" s="298" t="s">
        <v>53</v>
      </c>
      <c r="B21" s="73"/>
      <c r="C21" s="73"/>
      <c r="D21" s="73"/>
      <c r="E21" s="74" t="s">
        <v>54</v>
      </c>
      <c r="F21" s="74"/>
      <c r="G21" s="74"/>
      <c r="H21" s="74"/>
      <c r="I21" s="74"/>
      <c r="J21" s="74"/>
      <c r="K21" s="74"/>
      <c r="L21" s="75"/>
      <c r="M21" s="23"/>
      <c r="N21" s="35" t="s">
        <v>226</v>
      </c>
      <c r="O21" s="35"/>
      <c r="P21" s="35"/>
      <c r="Q21" s="71"/>
      <c r="R21" s="71"/>
      <c r="S21" s="71"/>
      <c r="T21" s="71"/>
      <c r="U21" s="71"/>
    </row>
    <row r="22" spans="1:21" ht="27.95" customHeight="1" x14ac:dyDescent="0.25">
      <c r="A22" s="72" t="s">
        <v>55</v>
      </c>
      <c r="B22" s="73"/>
      <c r="C22" s="73"/>
      <c r="D22" s="73"/>
      <c r="E22" s="74"/>
      <c r="F22" s="74"/>
      <c r="G22" s="74"/>
      <c r="H22" s="74"/>
      <c r="I22" s="74"/>
      <c r="J22" s="74"/>
      <c r="K22" s="74"/>
      <c r="L22" s="75"/>
      <c r="M22" s="23"/>
      <c r="N22" s="35" t="s">
        <v>227</v>
      </c>
      <c r="O22" s="35"/>
      <c r="P22" s="35"/>
      <c r="Q22" s="71" t="s">
        <v>228</v>
      </c>
      <c r="R22" s="71"/>
      <c r="S22" s="71"/>
      <c r="T22" s="71"/>
      <c r="U22" s="71"/>
    </row>
    <row r="23" spans="1:21" ht="16.5" customHeight="1" x14ac:dyDescent="0.25">
      <c r="A23" s="72" t="s">
        <v>56</v>
      </c>
      <c r="B23" s="73"/>
      <c r="C23" s="73"/>
      <c r="D23" s="73"/>
      <c r="E23" s="74" t="str">
        <f>IF('9. Conciliación'!D11&gt;0,"Mercado; ","")&amp;IF('9. Conciliación'!D12&gt;0,"Ingresos; ","")&amp;IF('9. Conciliación'!D13&gt;0,"Físico","")</f>
        <v/>
      </c>
      <c r="F23" s="83"/>
      <c r="G23" s="83"/>
      <c r="H23" s="83"/>
      <c r="I23" s="83"/>
      <c r="J23" s="83"/>
      <c r="K23" s="83"/>
      <c r="L23" s="84"/>
      <c r="M23" s="23"/>
      <c r="N23" s="35" t="s">
        <v>229</v>
      </c>
      <c r="O23" s="35"/>
      <c r="P23" s="35"/>
      <c r="Q23" s="71"/>
      <c r="R23" s="71"/>
      <c r="S23" s="71"/>
      <c r="T23" s="71"/>
      <c r="U23" s="71"/>
    </row>
    <row r="24" spans="1:21" ht="16.5" customHeight="1" x14ac:dyDescent="0.25">
      <c r="A24" s="72" t="str">
        <f>IF(Q19="No realizada","Inspección no realizada","Fecha de inspección")</f>
        <v>Fecha de inspección</v>
      </c>
      <c r="B24" s="73"/>
      <c r="C24" s="73"/>
      <c r="D24" s="73"/>
      <c r="E24" s="85"/>
      <c r="F24" s="85"/>
      <c r="G24" s="85"/>
      <c r="H24" s="85"/>
      <c r="I24" s="85"/>
      <c r="J24" s="85"/>
      <c r="K24" s="85"/>
      <c r="L24" s="86"/>
      <c r="M24" s="23"/>
      <c r="N24" s="35" t="s">
        <v>230</v>
      </c>
      <c r="O24" s="35"/>
      <c r="P24" s="35"/>
      <c r="Q24" s="71"/>
      <c r="R24" s="71"/>
      <c r="S24" s="71"/>
      <c r="T24" s="71"/>
      <c r="U24" s="71"/>
    </row>
    <row r="25" spans="1:21" ht="16.5" customHeight="1" x14ac:dyDescent="0.25">
      <c r="A25" s="72" t="s">
        <v>57</v>
      </c>
      <c r="B25" s="73"/>
      <c r="C25" s="73"/>
      <c r="D25" s="73"/>
      <c r="E25" s="85"/>
      <c r="F25" s="85"/>
      <c r="G25" s="85"/>
      <c r="H25" s="85"/>
      <c r="I25" s="85"/>
      <c r="J25" s="85"/>
      <c r="K25" s="85"/>
      <c r="L25" s="86"/>
      <c r="M25" s="23"/>
      <c r="N25" s="35" t="s">
        <v>231</v>
      </c>
      <c r="O25" s="35"/>
      <c r="P25" s="35"/>
      <c r="Q25" s="71" t="s">
        <v>228</v>
      </c>
      <c r="R25" s="71"/>
      <c r="S25" s="71"/>
      <c r="T25" s="71"/>
      <c r="U25" s="71"/>
    </row>
    <row r="26" spans="1:21" ht="16.5" customHeight="1" x14ac:dyDescent="0.25">
      <c r="A26" s="72" t="s">
        <v>320</v>
      </c>
      <c r="B26" s="73"/>
      <c r="C26" s="73"/>
      <c r="D26" s="73"/>
      <c r="E26" s="85"/>
      <c r="F26" s="85"/>
      <c r="G26" s="85"/>
      <c r="H26" s="85"/>
      <c r="I26" s="85"/>
      <c r="J26" s="85"/>
      <c r="K26" s="85"/>
      <c r="L26" s="86"/>
      <c r="M26" s="23"/>
      <c r="N26" s="35" t="s">
        <v>232</v>
      </c>
      <c r="O26" s="35"/>
      <c r="P26" s="35"/>
      <c r="Q26" s="71"/>
      <c r="R26" s="71"/>
      <c r="S26" s="71"/>
      <c r="T26" s="71"/>
      <c r="U26" s="71"/>
    </row>
    <row r="27" spans="1:21" ht="16.5" customHeight="1" x14ac:dyDescent="0.25">
      <c r="A27" s="72" t="s">
        <v>58</v>
      </c>
      <c r="B27" s="73"/>
      <c r="C27" s="73"/>
      <c r="D27" s="73"/>
      <c r="E27" s="74" t="s">
        <v>59</v>
      </c>
      <c r="F27" s="74"/>
      <c r="G27" s="74"/>
      <c r="H27" s="74"/>
      <c r="I27" s="74"/>
      <c r="J27" s="74"/>
      <c r="K27" s="74"/>
      <c r="L27" s="75"/>
      <c r="M27" s="23"/>
      <c r="N27" s="24"/>
      <c r="O27" s="24"/>
      <c r="P27" s="24"/>
      <c r="Q27" s="24"/>
      <c r="R27" s="24"/>
      <c r="S27" s="24"/>
      <c r="T27" s="24"/>
      <c r="U27" s="24"/>
    </row>
    <row r="28" spans="1:21" ht="16.5" customHeight="1" x14ac:dyDescent="0.25">
      <c r="A28" s="72" t="s">
        <v>60</v>
      </c>
      <c r="B28" s="73"/>
      <c r="C28" s="73"/>
      <c r="D28" s="73"/>
      <c r="E28" s="74" t="s">
        <v>61</v>
      </c>
      <c r="F28" s="83"/>
      <c r="G28" s="83"/>
      <c r="H28" s="83"/>
      <c r="I28" s="83"/>
      <c r="J28" s="83"/>
      <c r="K28" s="83"/>
      <c r="L28" s="84"/>
      <c r="M28" s="23"/>
      <c r="N28" s="35" t="s">
        <v>233</v>
      </c>
      <c r="O28" s="35"/>
      <c r="P28" s="35"/>
      <c r="Q28" s="71" t="str">
        <f>IF(Q12="Cancelada","Operación cancelada",IF(OR(Q11&lt;&gt;"Venta",Q12="Cambio de operación"),"Replantear el alcance",IF(OR(Q9="",E10="",E12="",E13="",E15="",E17="",E22="",E29="",E33="",Q20="",Q21="",Q24="",Q14=""),"Completar identidad y alcance",IF(OR(NOT(ISNUMBER(Q10)),NOT(ISNUMBER(E25)),NOT(ISNUMBER(E26))),"Completar fechas",IF(OR(Q10&lt;=0,E25&lt;Q10,E26&lt;E25),"Revisar fechas o vigencia",IF(AND(Q19&lt;&gt;"Realizada",Q19&lt;&gt;"No realizada"),"Definir inspección",IF(AND(Q19="Realizada",OR(NOT(ISNUMBER(E24)),E24&lt;=0,E24&gt;Q10)),"Revisar fecha de inspección",IF(OR(Q25="",Q25="Pendiente",Q25="No compatible"),"Resolver revisión jurídica",IF(AND(Q25="Condicionada",Q26=""),"Explicar condición jurídica",IF(OR(Q22="",Q22="Pendiente",AND(Q22="Discrepancia resuelta",Q23="")),"Conciliar superficies",IF(AND(Q13&lt;&gt;"Terreno",Q13&lt;&gt;"Construcción",Q13&lt;&gt;"Privativa"),"Definir base de mercado",IF('4. Inmueble'!Q24&lt;&gt;"Bases completas",'4. Inmueble'!Q24,"Bases completas"))))))))))))</f>
        <v>Completar identidad y alcance</v>
      </c>
      <c r="R28" s="71"/>
      <c r="S28" s="71"/>
      <c r="T28" s="71"/>
      <c r="U28" s="71"/>
    </row>
    <row r="29" spans="1:21" ht="27.95" customHeight="1" x14ac:dyDescent="0.25">
      <c r="A29" s="79" t="s">
        <v>62</v>
      </c>
      <c r="B29" s="80"/>
      <c r="C29" s="80"/>
      <c r="D29" s="80"/>
      <c r="E29" s="87"/>
      <c r="F29" s="87"/>
      <c r="G29" s="87"/>
      <c r="H29" s="87"/>
      <c r="I29" s="87"/>
      <c r="J29" s="87"/>
      <c r="K29" s="87"/>
      <c r="L29" s="88"/>
      <c r="M29" s="23"/>
      <c r="N29" s="24"/>
      <c r="O29" s="24"/>
      <c r="P29" s="24"/>
      <c r="Q29" s="24"/>
      <c r="R29" s="24"/>
      <c r="S29" s="24"/>
      <c r="T29" s="24"/>
      <c r="U29" s="24"/>
    </row>
    <row r="30" spans="1:21" ht="6.95" customHeight="1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23"/>
      <c r="N30" s="24"/>
      <c r="O30" s="24"/>
      <c r="P30" s="24"/>
      <c r="Q30" s="24"/>
      <c r="R30" s="24"/>
      <c r="S30" s="24"/>
      <c r="T30" s="24"/>
      <c r="U30" s="24"/>
    </row>
    <row r="31" spans="1:21" ht="16.5" customHeight="1" x14ac:dyDescent="0.25">
      <c r="A31" s="293" t="s">
        <v>63</v>
      </c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70"/>
      <c r="M31" s="23"/>
      <c r="N31" s="24"/>
      <c r="O31" s="24"/>
      <c r="P31" s="24"/>
      <c r="Q31" s="24"/>
      <c r="R31" s="24"/>
      <c r="S31" s="24"/>
      <c r="T31" s="24"/>
      <c r="U31" s="24"/>
    </row>
    <row r="32" spans="1:21" ht="16.5" customHeight="1" x14ac:dyDescent="0.25">
      <c r="A32" s="298" t="s">
        <v>64</v>
      </c>
      <c r="B32" s="73"/>
      <c r="C32" s="73"/>
      <c r="D32" s="73"/>
      <c r="E32" s="74" t="s">
        <v>367</v>
      </c>
      <c r="F32" s="74"/>
      <c r="G32" s="74"/>
      <c r="H32" s="74"/>
      <c r="I32" s="74"/>
      <c r="J32" s="74"/>
      <c r="K32" s="74"/>
      <c r="L32" s="75"/>
      <c r="M32" s="23"/>
      <c r="N32" s="24"/>
      <c r="O32" s="24"/>
      <c r="P32" s="24"/>
      <c r="Q32" s="24"/>
      <c r="R32" s="24"/>
      <c r="S32" s="24"/>
      <c r="T32" s="24"/>
      <c r="U32" s="24"/>
    </row>
    <row r="33" spans="1:21" ht="16.5" customHeight="1" x14ac:dyDescent="0.25">
      <c r="A33" s="72" t="s">
        <v>65</v>
      </c>
      <c r="B33" s="73"/>
      <c r="C33" s="73"/>
      <c r="D33" s="73"/>
      <c r="E33" s="74"/>
      <c r="F33" s="74"/>
      <c r="G33" s="74"/>
      <c r="H33" s="74"/>
      <c r="I33" s="74"/>
      <c r="J33" s="74"/>
      <c r="K33" s="74"/>
      <c r="L33" s="75"/>
      <c r="M33" s="23"/>
      <c r="N33" s="24"/>
      <c r="O33" s="24"/>
      <c r="P33" s="24"/>
      <c r="Q33" s="24"/>
      <c r="R33" s="24"/>
      <c r="S33" s="24"/>
      <c r="T33" s="24"/>
      <c r="U33" s="24"/>
    </row>
    <row r="34" spans="1:21" ht="16.5" customHeight="1" x14ac:dyDescent="0.25">
      <c r="A34" s="79" t="s">
        <v>66</v>
      </c>
      <c r="B34" s="80"/>
      <c r="C34" s="80"/>
      <c r="D34" s="80"/>
      <c r="E34" s="87" t="s">
        <v>368</v>
      </c>
      <c r="F34" s="87"/>
      <c r="G34" s="87"/>
      <c r="H34" s="87"/>
      <c r="I34" s="87"/>
      <c r="J34" s="87"/>
      <c r="K34" s="87"/>
      <c r="L34" s="88"/>
      <c r="M34" s="23"/>
      <c r="N34" s="24"/>
      <c r="O34" s="24"/>
      <c r="P34" s="24"/>
      <c r="Q34" s="24"/>
      <c r="R34" s="24"/>
      <c r="S34" s="24"/>
      <c r="T34" s="24"/>
      <c r="U34" s="24"/>
    </row>
    <row r="35" spans="1:21" ht="6.95" customHeight="1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23"/>
      <c r="N35" s="24"/>
      <c r="O35" s="24"/>
      <c r="P35" s="24"/>
      <c r="Q35" s="24"/>
      <c r="R35" s="24"/>
      <c r="S35" s="24"/>
      <c r="T35" s="24"/>
      <c r="U35" s="24"/>
    </row>
    <row r="36" spans="1:21" ht="16.5" customHeight="1" x14ac:dyDescent="0.25">
      <c r="A36" s="293" t="s">
        <v>67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70"/>
      <c r="M36" s="23"/>
      <c r="N36" s="24"/>
      <c r="O36" s="24"/>
      <c r="P36" s="24"/>
      <c r="Q36" s="24"/>
      <c r="R36" s="24"/>
      <c r="S36" s="24"/>
      <c r="T36" s="24"/>
      <c r="U36" s="24"/>
    </row>
    <row r="37" spans="1:21" ht="18.95" customHeight="1" x14ac:dyDescent="0.25">
      <c r="A37" s="299"/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1"/>
      <c r="M37" s="23"/>
      <c r="N37" s="24"/>
      <c r="O37" s="24"/>
      <c r="P37" s="24"/>
      <c r="Q37" s="24"/>
      <c r="R37" s="24"/>
      <c r="S37" s="24"/>
      <c r="T37" s="24"/>
      <c r="U37" s="24"/>
    </row>
    <row r="38" spans="1:21" ht="18.95" customHeight="1" x14ac:dyDescent="0.25">
      <c r="A38" s="89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1"/>
      <c r="M38" s="23"/>
      <c r="N38" s="24"/>
      <c r="O38" s="24"/>
      <c r="P38" s="24"/>
      <c r="Q38" s="24"/>
      <c r="R38" s="24"/>
      <c r="S38" s="24"/>
      <c r="T38" s="24"/>
      <c r="U38" s="24"/>
    </row>
    <row r="39" spans="1:21" ht="18.95" customHeight="1" x14ac:dyDescent="0.25">
      <c r="A39" s="89"/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1"/>
      <c r="M39" s="23"/>
      <c r="N39" s="24"/>
      <c r="O39" s="24"/>
      <c r="P39" s="24"/>
      <c r="Q39" s="24"/>
      <c r="R39" s="24"/>
      <c r="S39" s="24"/>
      <c r="T39" s="24"/>
      <c r="U39" s="24"/>
    </row>
    <row r="40" spans="1:21" ht="18.95" customHeight="1" x14ac:dyDescent="0.25">
      <c r="A40" s="89"/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1"/>
      <c r="M40" s="23"/>
      <c r="N40" s="24"/>
      <c r="O40" s="24"/>
      <c r="P40" s="24"/>
      <c r="Q40" s="24"/>
      <c r="R40" s="24"/>
      <c r="S40" s="24"/>
      <c r="T40" s="24"/>
      <c r="U40" s="24"/>
    </row>
    <row r="41" spans="1:21" ht="18.95" customHeight="1" x14ac:dyDescent="0.25">
      <c r="A41" s="89"/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1"/>
      <c r="M41" s="23"/>
      <c r="N41" s="24"/>
      <c r="O41" s="24"/>
      <c r="P41" s="24"/>
      <c r="Q41" s="24"/>
      <c r="R41" s="24"/>
      <c r="S41" s="24"/>
      <c r="T41" s="24"/>
      <c r="U41" s="24"/>
    </row>
    <row r="42" spans="1:21" ht="6.95" customHeight="1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23"/>
      <c r="N42" s="24"/>
      <c r="O42" s="24"/>
      <c r="P42" s="24"/>
      <c r="Q42" s="24"/>
      <c r="R42" s="24"/>
      <c r="S42" s="24"/>
      <c r="T42" s="24"/>
      <c r="U42" s="24"/>
    </row>
    <row r="43" spans="1:21" ht="16.5" customHeight="1" x14ac:dyDescent="0.25">
      <c r="A43" s="293" t="s">
        <v>68</v>
      </c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70"/>
      <c r="M43" s="23"/>
      <c r="N43" s="24"/>
      <c r="O43" s="24"/>
      <c r="P43" s="24"/>
      <c r="Q43" s="24"/>
      <c r="R43" s="24"/>
      <c r="S43" s="24"/>
      <c r="T43" s="24"/>
      <c r="U43" s="24"/>
    </row>
    <row r="44" spans="1:21" ht="16.5" customHeight="1" x14ac:dyDescent="0.25">
      <c r="A44" s="300" t="s">
        <v>234</v>
      </c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3"/>
      <c r="M44" s="23"/>
      <c r="N44" s="24"/>
      <c r="O44" s="24"/>
      <c r="P44" s="24"/>
      <c r="Q44" s="24"/>
      <c r="R44" s="24"/>
      <c r="S44" s="24"/>
      <c r="T44" s="24"/>
      <c r="U44" s="24"/>
    </row>
    <row r="45" spans="1:21" ht="16.5" customHeight="1" x14ac:dyDescent="0.25">
      <c r="A45" s="94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6"/>
      <c r="M45" s="23"/>
      <c r="N45" s="24"/>
      <c r="O45" s="24"/>
      <c r="P45" s="24"/>
      <c r="Q45" s="24"/>
      <c r="R45" s="24"/>
      <c r="S45" s="24"/>
      <c r="T45" s="24"/>
      <c r="U45" s="24"/>
    </row>
    <row r="46" spans="1:2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N46" s="2"/>
      <c r="O46" s="2"/>
      <c r="P46" s="2"/>
      <c r="Q46" s="2"/>
      <c r="R46" s="2"/>
      <c r="S46" s="2"/>
      <c r="T46" s="2"/>
      <c r="U46" s="2"/>
    </row>
    <row r="47" spans="1:2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N47" s="2"/>
      <c r="O47" s="2"/>
      <c r="P47" s="2"/>
      <c r="Q47" s="2"/>
      <c r="R47" s="2"/>
      <c r="S47" s="2"/>
      <c r="T47" s="2"/>
      <c r="U47" s="2"/>
    </row>
    <row r="48" spans="1:2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N48" s="2"/>
      <c r="O48" s="2"/>
      <c r="P48" s="2"/>
      <c r="Q48" s="2"/>
      <c r="R48" s="2"/>
      <c r="S48" s="2"/>
      <c r="T48" s="2"/>
      <c r="U48" s="2"/>
    </row>
    <row r="49" spans="1:2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N49" s="2"/>
      <c r="O49" s="2"/>
      <c r="P49" s="2"/>
      <c r="Q49" s="2"/>
      <c r="R49" s="2"/>
      <c r="S49" s="2"/>
      <c r="T49" s="2"/>
      <c r="U49" s="2"/>
    </row>
    <row r="50" spans="1:2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N50" s="2"/>
      <c r="O50" s="2"/>
      <c r="P50" s="2"/>
      <c r="Q50" s="2"/>
      <c r="R50" s="2"/>
      <c r="S50" s="2"/>
      <c r="T50" s="2"/>
      <c r="U50" s="2"/>
    </row>
    <row r="51" spans="1:2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N51" s="2"/>
      <c r="O51" s="2"/>
      <c r="P51" s="2"/>
      <c r="Q51" s="2"/>
      <c r="R51" s="2"/>
      <c r="S51" s="2"/>
      <c r="T51" s="2"/>
      <c r="U51" s="2"/>
    </row>
    <row r="52" spans="1:2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N52" s="2"/>
      <c r="O52" s="2"/>
      <c r="P52" s="2"/>
      <c r="Q52" s="2"/>
      <c r="R52" s="2"/>
      <c r="S52" s="2"/>
      <c r="T52" s="2"/>
      <c r="U52" s="2"/>
    </row>
    <row r="53" spans="1:2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N53" s="2"/>
      <c r="O53" s="2"/>
      <c r="P53" s="2"/>
      <c r="Q53" s="2"/>
      <c r="R53" s="2"/>
      <c r="S53" s="2"/>
      <c r="T53" s="2"/>
      <c r="U53" s="2"/>
    </row>
    <row r="54" spans="1:2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N54" s="2"/>
      <c r="O54" s="2"/>
      <c r="P54" s="2"/>
      <c r="Q54" s="2"/>
      <c r="R54" s="2"/>
      <c r="S54" s="2"/>
      <c r="T54" s="2"/>
      <c r="U54" s="2"/>
    </row>
    <row r="55" spans="1:2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N55" s="2"/>
      <c r="O55" s="2"/>
      <c r="P55" s="2"/>
      <c r="Q55" s="2"/>
      <c r="R55" s="2"/>
      <c r="S55" s="2"/>
      <c r="T55" s="2"/>
      <c r="U55" s="2"/>
    </row>
    <row r="56" spans="1:2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N56" s="2"/>
      <c r="O56" s="2"/>
      <c r="P56" s="2"/>
      <c r="Q56" s="2"/>
      <c r="R56" s="2"/>
      <c r="S56" s="2"/>
      <c r="T56" s="2"/>
      <c r="U56" s="2"/>
    </row>
    <row r="57" spans="1:2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N57" s="2"/>
      <c r="O57" s="2"/>
      <c r="P57" s="2"/>
      <c r="Q57" s="2"/>
      <c r="R57" s="2"/>
      <c r="S57" s="2"/>
      <c r="T57" s="2"/>
      <c r="U57" s="2"/>
    </row>
    <row r="58" spans="1:2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N58" s="2"/>
      <c r="O58" s="2"/>
      <c r="P58" s="2"/>
      <c r="Q58" s="2"/>
      <c r="R58" s="2"/>
      <c r="S58" s="2"/>
      <c r="T58" s="2"/>
      <c r="U58" s="2"/>
    </row>
    <row r="59" spans="1:2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N59" s="2"/>
      <c r="O59" s="2"/>
      <c r="P59" s="2"/>
      <c r="Q59" s="2"/>
      <c r="R59" s="2"/>
      <c r="S59" s="2"/>
      <c r="T59" s="2"/>
      <c r="U59" s="2"/>
    </row>
    <row r="60" spans="1:2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N60" s="2"/>
      <c r="O60" s="2"/>
      <c r="P60" s="2"/>
      <c r="Q60" s="2"/>
      <c r="R60" s="2"/>
      <c r="S60" s="2"/>
      <c r="T60" s="2"/>
      <c r="U60" s="2"/>
    </row>
    <row r="61" spans="1:21" x14ac:dyDescent="0.25">
      <c r="N61" s="2"/>
      <c r="O61" s="2"/>
      <c r="P61" s="2"/>
      <c r="Q61" s="2"/>
      <c r="R61" s="2"/>
      <c r="S61" s="2"/>
      <c r="T61" s="2"/>
      <c r="U61" s="2"/>
    </row>
    <row r="62" spans="1:21" x14ac:dyDescent="0.25">
      <c r="N62" s="2"/>
      <c r="O62" s="2"/>
      <c r="P62" s="2"/>
      <c r="Q62" s="2"/>
      <c r="R62" s="2"/>
      <c r="S62" s="2"/>
      <c r="T62" s="2"/>
      <c r="U62" s="2"/>
    </row>
    <row r="63" spans="1:21" x14ac:dyDescent="0.25">
      <c r="N63" s="2"/>
      <c r="O63" s="2"/>
      <c r="P63" s="2"/>
      <c r="Q63" s="2"/>
      <c r="R63" s="2"/>
      <c r="S63" s="2"/>
      <c r="T63" s="2"/>
      <c r="U63" s="2"/>
    </row>
    <row r="64" spans="1:21" x14ac:dyDescent="0.25">
      <c r="N64" s="2"/>
      <c r="O64" s="2"/>
      <c r="P64" s="2"/>
      <c r="Q64" s="2"/>
      <c r="R64" s="2"/>
      <c r="S64" s="2"/>
      <c r="T64" s="2"/>
      <c r="U64" s="2"/>
    </row>
    <row r="65" spans="14:21" x14ac:dyDescent="0.25">
      <c r="N65" s="2"/>
      <c r="O65" s="2"/>
      <c r="P65" s="2"/>
      <c r="Q65" s="2"/>
      <c r="R65" s="2"/>
      <c r="S65" s="2"/>
      <c r="T65" s="2"/>
      <c r="U65" s="2"/>
    </row>
    <row r="66" spans="14:21" x14ac:dyDescent="0.25">
      <c r="N66" s="2"/>
      <c r="O66" s="2"/>
      <c r="P66" s="2"/>
      <c r="Q66" s="2"/>
      <c r="R66" s="2"/>
      <c r="S66" s="2"/>
      <c r="T66" s="2"/>
      <c r="U66" s="2"/>
    </row>
    <row r="67" spans="14:21" x14ac:dyDescent="0.25">
      <c r="N67" s="2"/>
      <c r="O67" s="2"/>
      <c r="P67" s="2"/>
      <c r="Q67" s="2"/>
      <c r="R67" s="2"/>
      <c r="S67" s="2"/>
      <c r="T67" s="2"/>
      <c r="U67" s="2"/>
    </row>
    <row r="68" spans="14:21" x14ac:dyDescent="0.25">
      <c r="N68" s="2"/>
      <c r="O68" s="2"/>
      <c r="P68" s="2"/>
      <c r="Q68" s="2"/>
      <c r="R68" s="2"/>
      <c r="S68" s="2"/>
      <c r="T68" s="2"/>
      <c r="U68" s="2"/>
    </row>
    <row r="69" spans="14:21" x14ac:dyDescent="0.25">
      <c r="N69" s="2"/>
      <c r="O69" s="2"/>
      <c r="P69" s="2"/>
      <c r="Q69" s="2"/>
      <c r="R69" s="2"/>
      <c r="S69" s="2"/>
      <c r="T69" s="2"/>
      <c r="U69" s="2"/>
    </row>
    <row r="70" spans="14:21" x14ac:dyDescent="0.25">
      <c r="N70" s="2"/>
      <c r="O70" s="2"/>
      <c r="P70" s="2"/>
      <c r="Q70" s="2"/>
      <c r="R70" s="2"/>
      <c r="S70" s="2"/>
      <c r="T70" s="2"/>
      <c r="U70" s="2"/>
    </row>
    <row r="71" spans="14:21" x14ac:dyDescent="0.25">
      <c r="N71" s="2"/>
      <c r="O71" s="2"/>
      <c r="P71" s="2"/>
      <c r="Q71" s="2"/>
      <c r="R71" s="2"/>
      <c r="S71" s="2"/>
      <c r="T71" s="2"/>
      <c r="U71" s="2"/>
    </row>
    <row r="72" spans="14:21" x14ac:dyDescent="0.25">
      <c r="N72" s="2"/>
      <c r="O72" s="2"/>
      <c r="P72" s="2"/>
      <c r="Q72" s="2"/>
      <c r="R72" s="2"/>
      <c r="S72" s="2"/>
      <c r="T72" s="2"/>
      <c r="U72" s="2"/>
    </row>
    <row r="73" spans="14:21" x14ac:dyDescent="0.25">
      <c r="N73" s="2"/>
      <c r="O73" s="2"/>
      <c r="P73" s="2"/>
      <c r="Q73" s="2"/>
      <c r="R73" s="2"/>
      <c r="S73" s="2"/>
      <c r="T73" s="2"/>
      <c r="U73" s="2"/>
    </row>
    <row r="74" spans="14:21" x14ac:dyDescent="0.25">
      <c r="N74" s="2"/>
      <c r="O74" s="2"/>
      <c r="P74" s="2"/>
      <c r="Q74" s="2"/>
      <c r="R74" s="2"/>
      <c r="S74" s="2"/>
      <c r="T74" s="2"/>
      <c r="U74" s="2"/>
    </row>
    <row r="75" spans="14:21" x14ac:dyDescent="0.25">
      <c r="N75" s="2"/>
      <c r="O75" s="2"/>
      <c r="P75" s="2"/>
      <c r="Q75" s="2"/>
      <c r="R75" s="2"/>
      <c r="S75" s="2"/>
      <c r="T75" s="2"/>
      <c r="U75" s="2"/>
    </row>
    <row r="76" spans="14:21" x14ac:dyDescent="0.25">
      <c r="N76" s="2"/>
      <c r="O76" s="2"/>
      <c r="P76" s="2"/>
      <c r="Q76" s="2"/>
      <c r="R76" s="2"/>
      <c r="S76" s="2"/>
      <c r="T76" s="2"/>
      <c r="U76" s="2"/>
    </row>
    <row r="77" spans="14:21" x14ac:dyDescent="0.25">
      <c r="N77" s="2"/>
      <c r="O77" s="2"/>
      <c r="P77" s="2"/>
      <c r="Q77" s="2"/>
      <c r="R77" s="2"/>
      <c r="S77" s="2"/>
      <c r="T77" s="2"/>
      <c r="U77" s="2"/>
    </row>
    <row r="78" spans="14:21" x14ac:dyDescent="0.25">
      <c r="N78" s="2"/>
      <c r="O78" s="2"/>
      <c r="P78" s="2"/>
      <c r="Q78" s="2"/>
      <c r="R78" s="2"/>
      <c r="S78" s="2"/>
      <c r="T78" s="2"/>
      <c r="U78" s="2"/>
    </row>
    <row r="79" spans="14:21" x14ac:dyDescent="0.25">
      <c r="N79" s="2"/>
      <c r="O79" s="2"/>
      <c r="P79" s="2"/>
      <c r="Q79" s="2"/>
      <c r="R79" s="2"/>
      <c r="S79" s="2"/>
      <c r="T79" s="2"/>
      <c r="U79" s="2"/>
    </row>
    <row r="80" spans="14:21" x14ac:dyDescent="0.25">
      <c r="N80" s="2"/>
      <c r="O80" s="2"/>
      <c r="P80" s="2"/>
      <c r="Q80" s="2"/>
      <c r="R80" s="2"/>
      <c r="S80" s="2"/>
      <c r="T80" s="2"/>
      <c r="U80" s="2"/>
    </row>
    <row r="81" spans="14:21" x14ac:dyDescent="0.25">
      <c r="N81" s="2"/>
      <c r="O81" s="2"/>
      <c r="P81" s="2"/>
      <c r="Q81" s="2"/>
      <c r="R81" s="2"/>
      <c r="S81" s="2"/>
      <c r="T81" s="2"/>
      <c r="U81" s="2"/>
    </row>
    <row r="82" spans="14:21" x14ac:dyDescent="0.25">
      <c r="N82" s="2"/>
      <c r="O82" s="2"/>
      <c r="P82" s="2"/>
      <c r="Q82" s="2"/>
      <c r="R82" s="2"/>
      <c r="S82" s="2"/>
      <c r="T82" s="2"/>
      <c r="U82" s="2"/>
    </row>
    <row r="83" spans="14:21" x14ac:dyDescent="0.25">
      <c r="N83" s="2"/>
      <c r="O83" s="2"/>
      <c r="P83" s="2"/>
      <c r="Q83" s="2"/>
      <c r="R83" s="2"/>
      <c r="S83" s="2"/>
      <c r="T83" s="2"/>
      <c r="U83" s="2"/>
    </row>
    <row r="84" spans="14:21" x14ac:dyDescent="0.25">
      <c r="N84" s="2"/>
      <c r="O84" s="2"/>
      <c r="P84" s="2"/>
      <c r="Q84" s="2"/>
      <c r="R84" s="2"/>
      <c r="S84" s="2"/>
      <c r="T84" s="2"/>
      <c r="U84" s="2"/>
    </row>
    <row r="85" spans="14:21" x14ac:dyDescent="0.25">
      <c r="N85" s="2"/>
      <c r="O85" s="2"/>
      <c r="P85" s="2"/>
      <c r="Q85" s="2"/>
      <c r="R85" s="2"/>
      <c r="S85" s="2"/>
      <c r="T85" s="2"/>
      <c r="U85" s="2"/>
    </row>
    <row r="86" spans="14:21" x14ac:dyDescent="0.25">
      <c r="N86" s="2"/>
      <c r="O86" s="2"/>
      <c r="P86" s="2"/>
      <c r="Q86" s="2"/>
      <c r="R86" s="2"/>
      <c r="S86" s="2"/>
      <c r="T86" s="2"/>
      <c r="U86" s="2"/>
    </row>
    <row r="87" spans="14:21" x14ac:dyDescent="0.25">
      <c r="N87" s="2"/>
      <c r="O87" s="2"/>
      <c r="P87" s="2"/>
      <c r="Q87" s="2"/>
      <c r="R87" s="2"/>
      <c r="S87" s="2"/>
      <c r="T87" s="2"/>
      <c r="U87" s="2"/>
    </row>
    <row r="88" spans="14:21" x14ac:dyDescent="0.25">
      <c r="N88" s="2"/>
      <c r="O88" s="2"/>
      <c r="P88" s="2"/>
      <c r="Q88" s="2"/>
      <c r="R88" s="2"/>
      <c r="S88" s="2"/>
      <c r="T88" s="2"/>
      <c r="U88" s="2"/>
    </row>
    <row r="89" spans="14:21" x14ac:dyDescent="0.25">
      <c r="N89" s="2"/>
      <c r="O89" s="2"/>
      <c r="P89" s="2"/>
      <c r="Q89" s="2"/>
      <c r="R89" s="2"/>
      <c r="S89" s="2"/>
      <c r="T89" s="2"/>
      <c r="U89" s="2"/>
    </row>
    <row r="90" spans="14:21" x14ac:dyDescent="0.25">
      <c r="N90" s="2"/>
      <c r="O90" s="2"/>
      <c r="P90" s="2"/>
      <c r="Q90" s="2"/>
      <c r="R90" s="2"/>
      <c r="S90" s="2"/>
      <c r="T90" s="2"/>
      <c r="U90" s="2"/>
    </row>
    <row r="91" spans="14:21" x14ac:dyDescent="0.25">
      <c r="N91" s="2"/>
      <c r="O91" s="2"/>
      <c r="P91" s="2"/>
      <c r="Q91" s="2"/>
      <c r="R91" s="2"/>
      <c r="S91" s="2"/>
      <c r="T91" s="2"/>
      <c r="U91" s="2"/>
    </row>
    <row r="92" spans="14:21" x14ac:dyDescent="0.25">
      <c r="N92" s="2"/>
      <c r="O92" s="2"/>
      <c r="P92" s="2"/>
      <c r="Q92" s="2"/>
      <c r="R92" s="2"/>
      <c r="S92" s="2"/>
      <c r="T92" s="2"/>
      <c r="U92" s="2"/>
    </row>
    <row r="93" spans="14:21" x14ac:dyDescent="0.25">
      <c r="N93" s="2"/>
      <c r="O93" s="2"/>
      <c r="P93" s="2"/>
      <c r="Q93" s="2"/>
      <c r="R93" s="2"/>
      <c r="S93" s="2"/>
      <c r="T93" s="2"/>
      <c r="U93" s="2"/>
    </row>
    <row r="94" spans="14:21" x14ac:dyDescent="0.25">
      <c r="N94" s="2"/>
      <c r="O94" s="2"/>
      <c r="P94" s="2"/>
      <c r="Q94" s="2"/>
      <c r="R94" s="2"/>
      <c r="S94" s="2"/>
      <c r="T94" s="2"/>
      <c r="U94" s="2"/>
    </row>
    <row r="95" spans="14:21" x14ac:dyDescent="0.25">
      <c r="N95" s="2"/>
      <c r="O95" s="2"/>
      <c r="P95" s="2"/>
      <c r="Q95" s="2"/>
      <c r="R95" s="2"/>
      <c r="S95" s="2"/>
      <c r="T95" s="2"/>
      <c r="U95" s="2"/>
    </row>
    <row r="96" spans="14:21" x14ac:dyDescent="0.25">
      <c r="N96" s="2"/>
      <c r="O96" s="2"/>
      <c r="P96" s="2"/>
      <c r="Q96" s="2"/>
      <c r="R96" s="2"/>
      <c r="S96" s="2"/>
      <c r="T96" s="2"/>
      <c r="U96" s="2"/>
    </row>
    <row r="97" spans="14:21" x14ac:dyDescent="0.25">
      <c r="N97" s="2"/>
      <c r="O97" s="2"/>
      <c r="P97" s="2"/>
      <c r="Q97" s="2"/>
      <c r="R97" s="2"/>
      <c r="S97" s="2"/>
      <c r="T97" s="2"/>
      <c r="U97" s="2"/>
    </row>
    <row r="98" spans="14:21" x14ac:dyDescent="0.25">
      <c r="N98" s="2"/>
      <c r="O98" s="2"/>
      <c r="P98" s="2"/>
      <c r="Q98" s="2"/>
      <c r="R98" s="2"/>
      <c r="S98" s="2"/>
      <c r="T98" s="2"/>
      <c r="U98" s="2"/>
    </row>
    <row r="99" spans="14:21" x14ac:dyDescent="0.25">
      <c r="N99" s="2"/>
      <c r="O99" s="2"/>
      <c r="P99" s="2"/>
      <c r="Q99" s="2"/>
      <c r="R99" s="2"/>
      <c r="S99" s="2"/>
      <c r="T99" s="2"/>
      <c r="U99" s="2"/>
    </row>
    <row r="100" spans="14:21" x14ac:dyDescent="0.25">
      <c r="N100" s="2"/>
      <c r="O100" s="2"/>
      <c r="P100" s="2"/>
      <c r="Q100" s="2"/>
      <c r="R100" s="2"/>
      <c r="S100" s="2"/>
      <c r="T100" s="2"/>
      <c r="U100" s="2"/>
    </row>
    <row r="101" spans="14:21" x14ac:dyDescent="0.25">
      <c r="N101" s="2"/>
      <c r="O101" s="2"/>
      <c r="P101" s="2"/>
      <c r="Q101" s="2"/>
      <c r="R101" s="2"/>
      <c r="S101" s="2"/>
      <c r="T101" s="2"/>
      <c r="U101" s="2"/>
    </row>
    <row r="102" spans="14:21" x14ac:dyDescent="0.25">
      <c r="N102" s="2"/>
      <c r="O102" s="2"/>
      <c r="P102" s="2"/>
      <c r="Q102" s="2"/>
      <c r="R102" s="2"/>
      <c r="S102" s="2"/>
      <c r="T102" s="2"/>
      <c r="U102" s="2"/>
    </row>
    <row r="103" spans="14:21" x14ac:dyDescent="0.25">
      <c r="N103" s="2"/>
      <c r="O103" s="2"/>
      <c r="P103" s="2"/>
      <c r="Q103" s="2"/>
      <c r="R103" s="2"/>
      <c r="S103" s="2"/>
      <c r="T103" s="2"/>
      <c r="U103" s="2"/>
    </row>
    <row r="104" spans="14:21" x14ac:dyDescent="0.25">
      <c r="N104" s="2"/>
      <c r="O104" s="2"/>
      <c r="P104" s="2"/>
      <c r="Q104" s="2"/>
      <c r="R104" s="2"/>
      <c r="S104" s="2"/>
      <c r="T104" s="2"/>
      <c r="U104" s="2"/>
    </row>
    <row r="105" spans="14:21" x14ac:dyDescent="0.25">
      <c r="N105" s="2"/>
      <c r="O105" s="2"/>
      <c r="P105" s="2"/>
      <c r="Q105" s="2"/>
      <c r="R105" s="2"/>
      <c r="S105" s="2"/>
      <c r="T105" s="2"/>
      <c r="U105" s="2"/>
    </row>
    <row r="106" spans="14:21" x14ac:dyDescent="0.25">
      <c r="N106" s="2"/>
      <c r="O106" s="2"/>
      <c r="P106" s="2"/>
      <c r="Q106" s="2"/>
      <c r="R106" s="2"/>
      <c r="S106" s="2"/>
      <c r="T106" s="2"/>
      <c r="U106" s="2"/>
    </row>
    <row r="107" spans="14:21" x14ac:dyDescent="0.25">
      <c r="N107" s="2"/>
      <c r="O107" s="2"/>
      <c r="P107" s="2"/>
      <c r="Q107" s="2"/>
      <c r="R107" s="2"/>
      <c r="S107" s="2"/>
      <c r="T107" s="2"/>
      <c r="U107" s="2"/>
    </row>
    <row r="108" spans="14:21" x14ac:dyDescent="0.25">
      <c r="N108" s="2"/>
      <c r="O108" s="2"/>
      <c r="P108" s="2"/>
      <c r="Q108" s="2"/>
      <c r="R108" s="2"/>
      <c r="S108" s="2"/>
      <c r="T108" s="2"/>
      <c r="U108" s="2"/>
    </row>
    <row r="109" spans="14:21" x14ac:dyDescent="0.25">
      <c r="N109" s="2"/>
      <c r="O109" s="2"/>
      <c r="P109" s="2"/>
      <c r="Q109" s="2"/>
      <c r="R109" s="2"/>
      <c r="S109" s="2"/>
      <c r="T109" s="2"/>
      <c r="U109" s="2"/>
    </row>
    <row r="110" spans="14:21" x14ac:dyDescent="0.25">
      <c r="N110" s="2"/>
      <c r="O110" s="2"/>
      <c r="P110" s="2"/>
      <c r="Q110" s="2"/>
      <c r="R110" s="2"/>
      <c r="S110" s="2"/>
      <c r="T110" s="2"/>
      <c r="U110" s="2"/>
    </row>
    <row r="111" spans="14:21" x14ac:dyDescent="0.25">
      <c r="N111" s="2"/>
      <c r="O111" s="2"/>
      <c r="P111" s="2"/>
      <c r="Q111" s="2"/>
      <c r="R111" s="2"/>
      <c r="S111" s="2"/>
      <c r="T111" s="2"/>
      <c r="U111" s="2"/>
    </row>
    <row r="112" spans="14:21" x14ac:dyDescent="0.25">
      <c r="N112" s="2"/>
      <c r="O112" s="2"/>
      <c r="P112" s="2"/>
      <c r="Q112" s="2"/>
      <c r="R112" s="2"/>
      <c r="S112" s="2"/>
      <c r="T112" s="2"/>
      <c r="U112" s="2"/>
    </row>
    <row r="113" spans="14:21" x14ac:dyDescent="0.25">
      <c r="N113" s="2"/>
      <c r="O113" s="2"/>
      <c r="P113" s="2"/>
      <c r="Q113" s="2"/>
      <c r="R113" s="2"/>
      <c r="S113" s="2"/>
      <c r="T113" s="2"/>
      <c r="U113" s="2"/>
    </row>
    <row r="114" spans="14:21" x14ac:dyDescent="0.25">
      <c r="N114" s="2"/>
      <c r="O114" s="2"/>
      <c r="P114" s="2"/>
      <c r="Q114" s="2"/>
      <c r="R114" s="2"/>
      <c r="S114" s="2"/>
      <c r="T114" s="2"/>
      <c r="U114" s="2"/>
    </row>
    <row r="115" spans="14:21" x14ac:dyDescent="0.25">
      <c r="N115" s="2"/>
      <c r="O115" s="2"/>
      <c r="P115" s="2"/>
      <c r="Q115" s="2"/>
      <c r="R115" s="2"/>
      <c r="S115" s="2"/>
      <c r="T115" s="2"/>
      <c r="U115" s="2"/>
    </row>
  </sheetData>
  <mergeCells count="97">
    <mergeCell ref="A41:L41"/>
    <mergeCell ref="A43:L43"/>
    <mergeCell ref="A44:L45"/>
    <mergeCell ref="A36:L36"/>
    <mergeCell ref="A37:L37"/>
    <mergeCell ref="A38:L38"/>
    <mergeCell ref="A39:L39"/>
    <mergeCell ref="A40:L40"/>
    <mergeCell ref="A32:D32"/>
    <mergeCell ref="E32:L32"/>
    <mergeCell ref="A33:D33"/>
    <mergeCell ref="E33:L33"/>
    <mergeCell ref="A34:D34"/>
    <mergeCell ref="E34:L34"/>
    <mergeCell ref="A27:D27"/>
    <mergeCell ref="E27:L27"/>
    <mergeCell ref="A28:D28"/>
    <mergeCell ref="E28:L28"/>
    <mergeCell ref="A29:D29"/>
    <mergeCell ref="E29:L29"/>
    <mergeCell ref="A31:L31"/>
    <mergeCell ref="A16:D16"/>
    <mergeCell ref="E16:L16"/>
    <mergeCell ref="A17:D17"/>
    <mergeCell ref="E17:L17"/>
    <mergeCell ref="A20:L20"/>
    <mergeCell ref="A23:D23"/>
    <mergeCell ref="E23:L23"/>
    <mergeCell ref="A24:D24"/>
    <mergeCell ref="E24:L24"/>
    <mergeCell ref="A25:D25"/>
    <mergeCell ref="E25:L25"/>
    <mergeCell ref="A26:D26"/>
    <mergeCell ref="E26:L26"/>
    <mergeCell ref="A21:D21"/>
    <mergeCell ref="E21:L21"/>
    <mergeCell ref="A22:D22"/>
    <mergeCell ref="E22:L22"/>
    <mergeCell ref="A18:D18"/>
    <mergeCell ref="E18:L18"/>
    <mergeCell ref="A13:D13"/>
    <mergeCell ref="E13:L13"/>
    <mergeCell ref="A14:D14"/>
    <mergeCell ref="E14:L14"/>
    <mergeCell ref="A15:D15"/>
    <mergeCell ref="E15:L15"/>
    <mergeCell ref="A10:D10"/>
    <mergeCell ref="E10:L10"/>
    <mergeCell ref="A11:D11"/>
    <mergeCell ref="E11:L11"/>
    <mergeCell ref="A12:D12"/>
    <mergeCell ref="E12:L12"/>
    <mergeCell ref="A9:L9"/>
    <mergeCell ref="A7:L7"/>
    <mergeCell ref="C2:H2"/>
    <mergeCell ref="I2:L3"/>
    <mergeCell ref="C3:H3"/>
    <mergeCell ref="A5:L5"/>
    <mergeCell ref="N7:U7"/>
    <mergeCell ref="N9:P9"/>
    <mergeCell ref="Q9:U9"/>
    <mergeCell ref="N10:P10"/>
    <mergeCell ref="Q10:U10"/>
    <mergeCell ref="N11:P11"/>
    <mergeCell ref="Q11:U11"/>
    <mergeCell ref="N12:P12"/>
    <mergeCell ref="Q12:U12"/>
    <mergeCell ref="N13:P13"/>
    <mergeCell ref="Q13:U13"/>
    <mergeCell ref="N14:P14"/>
    <mergeCell ref="Q14:U14"/>
    <mergeCell ref="N15:P15"/>
    <mergeCell ref="Q15:U15"/>
    <mergeCell ref="N16:P16"/>
    <mergeCell ref="Q16:U16"/>
    <mergeCell ref="N17:P17"/>
    <mergeCell ref="Q17:U17"/>
    <mergeCell ref="N18:P18"/>
    <mergeCell ref="Q18:U18"/>
    <mergeCell ref="N19:P19"/>
    <mergeCell ref="Q19:U19"/>
    <mergeCell ref="N20:P20"/>
    <mergeCell ref="Q20:U20"/>
    <mergeCell ref="N21:P21"/>
    <mergeCell ref="Q21:U21"/>
    <mergeCell ref="N22:P22"/>
    <mergeCell ref="Q22:U22"/>
    <mergeCell ref="N26:P26"/>
    <mergeCell ref="Q26:U26"/>
    <mergeCell ref="N28:P28"/>
    <mergeCell ref="Q28:U28"/>
    <mergeCell ref="N23:P23"/>
    <mergeCell ref="Q23:U23"/>
    <mergeCell ref="N24:P24"/>
    <mergeCell ref="Q24:U24"/>
    <mergeCell ref="N25:P25"/>
    <mergeCell ref="Q25:U25"/>
  </mergeCells>
  <conditionalFormatting sqref="Q28">
    <cfRule type="expression" dxfId="20" priority="1">
      <formula>AND(Q28&lt;&gt;"",Q28&lt;&gt;"Incluido",Q28&lt;&gt;"Revisada",Q28&lt;&gt;"Bases completas",Q28&lt;&gt;"Excluido")</formula>
    </cfRule>
  </conditionalFormatting>
  <dataValidations count="7">
    <dataValidation type="list" sqref="E13" xr:uid="{00000000-0002-0000-0300-000000000000}">
      <formula1>"Terreno,Casa,Departamento,Oficina,Local,Nave o bodega,Plaza o conjunto"</formula1>
    </dataValidation>
    <dataValidation type="list" sqref="Q11" xr:uid="{00000000-0002-0000-0300-000001000000}">
      <formula1>"Venta,Renta,Administración,Desarrollo"</formula1>
    </dataValidation>
    <dataValidation type="list" sqref="Q12" xr:uid="{00000000-0002-0000-0300-000002000000}">
      <formula1>"En estudio,Cancelada,Cambio de operación"</formula1>
    </dataValidation>
    <dataValidation type="list" sqref="Q13" xr:uid="{00000000-0002-0000-0300-000003000000}">
      <formula1>"Terreno,Construcción,Privativa"</formula1>
    </dataValidation>
    <dataValidation type="list" sqref="Q19" xr:uid="{00000000-0002-0000-0300-000004000000}">
      <formula1>"Realizada,No realizada"</formula1>
    </dataValidation>
    <dataValidation type="list" sqref="Q22" xr:uid="{00000000-0002-0000-0300-000005000000}">
      <formula1>"Pendiente,Sin discrepancia,Discrepancia resuelta"</formula1>
    </dataValidation>
    <dataValidation type="list" sqref="Q25" xr:uid="{00000000-0002-0000-0300-000006000000}">
      <formula1>"Pendiente,Compatible,Condicionada,No compatible"</formula1>
    </dataValidation>
  </dataValidations>
  <hyperlinks>
    <hyperlink ref="N5" location="'Índice'!N7" tooltip="Abrir guía de uso" display="GUÍA DE USO" xr:uid="{2226C7CA-B697-450D-BA41-AA4F0536CC65}"/>
    <hyperlink ref="N6" location="'2. Antecedentes'!A1" tooltip="Volver al informe" display="VOLVER AL INFORME" xr:uid="{7704636C-2FD5-4CBA-B8C7-44085F75EBAA}"/>
  </hyperlinks>
  <printOptions horizontalCentered="1"/>
  <pageMargins left="0.28000000000000003" right="0.28000000000000003" top="0.4" bottom="0.5" header="0.25" footer="0.25"/>
  <pageSetup scale="93" orientation="portrait" r:id="rId1"/>
  <headerFooter>
    <oddFooter>&amp;C&amp;"Arial"&amp;8&amp;K6B7280&amp;P/&amp;F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F6B4E"/>
    <pageSetUpPr fitToPage="1"/>
  </sheetPr>
  <dimension ref="A1:U115"/>
  <sheetViews>
    <sheetView showGridLines="0" zoomScaleNormal="100" workbookViewId="0"/>
  </sheetViews>
  <sheetFormatPr baseColWidth="10" defaultColWidth="9.140625" defaultRowHeight="15" x14ac:dyDescent="0.25"/>
  <cols>
    <col min="1" max="12" width="9" customWidth="1"/>
    <col min="13" max="13" width="3" customWidth="1"/>
    <col min="14" max="21" width="18" customWidth="1"/>
  </cols>
  <sheetData>
    <row r="1" spans="1:2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N1" s="2"/>
      <c r="O1" s="2"/>
      <c r="P1" s="2"/>
      <c r="Q1" s="2"/>
      <c r="R1" s="2"/>
      <c r="S1" s="2"/>
      <c r="T1" s="2"/>
      <c r="U1" s="2"/>
    </row>
    <row r="2" spans="1:21" ht="18" customHeight="1" x14ac:dyDescent="0.25">
      <c r="A2" s="11"/>
      <c r="B2" s="11"/>
      <c r="C2" s="21"/>
      <c r="D2" s="21"/>
      <c r="E2" s="21"/>
      <c r="F2" s="21"/>
      <c r="G2" s="21"/>
      <c r="H2" s="21"/>
      <c r="I2" s="8" t="str">
        <f>"Opinión de valor comercial"&amp;IF('2. Antecedentes'!$Q$9&lt;&gt;"",CHAR(10)&amp;"Folio "&amp;'2. Antecedentes'!$Q$9,"")</f>
        <v>Opinión de valor comercial</v>
      </c>
      <c r="J2" s="22"/>
      <c r="K2" s="22"/>
      <c r="L2" s="22"/>
      <c r="N2" s="2"/>
      <c r="O2" s="2"/>
      <c r="P2" s="2"/>
      <c r="Q2" s="2"/>
      <c r="R2" s="2"/>
      <c r="S2" s="2"/>
      <c r="T2" s="2"/>
      <c r="U2" s="2"/>
    </row>
    <row r="3" spans="1:21" ht="12" customHeight="1" x14ac:dyDescent="0.25">
      <c r="A3" s="11"/>
      <c r="B3" s="11"/>
      <c r="C3" s="25"/>
      <c r="D3" s="25"/>
      <c r="E3" s="25"/>
      <c r="F3" s="25"/>
      <c r="G3" s="25"/>
      <c r="H3" s="25"/>
      <c r="I3" s="22"/>
      <c r="J3" s="22"/>
      <c r="K3" s="22"/>
      <c r="L3" s="22"/>
      <c r="N3" s="2"/>
      <c r="O3" s="2"/>
      <c r="P3" s="2"/>
      <c r="Q3" s="2"/>
      <c r="R3" s="2"/>
      <c r="S3" s="2"/>
      <c r="T3" s="2"/>
      <c r="U3" s="2"/>
    </row>
    <row r="4" spans="1:21" ht="8.1" customHeight="1" thickBot="1" x14ac:dyDescent="0.3">
      <c r="A4" s="350"/>
      <c r="B4" s="350"/>
      <c r="C4" s="350"/>
      <c r="D4" s="26"/>
      <c r="E4" s="26"/>
      <c r="F4" s="26"/>
      <c r="G4" s="26"/>
      <c r="H4" s="26"/>
      <c r="I4" s="26"/>
      <c r="J4" s="26"/>
      <c r="K4" s="26"/>
      <c r="L4" s="26"/>
      <c r="N4" s="2"/>
      <c r="O4" s="2"/>
      <c r="P4" s="2"/>
      <c r="Q4" s="2"/>
      <c r="R4" s="2"/>
      <c r="S4" s="2"/>
      <c r="T4" s="2"/>
      <c r="U4" s="2"/>
    </row>
    <row r="5" spans="1:21" ht="3" customHeight="1" x14ac:dyDescent="0.2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N5" s="9"/>
      <c r="O5" s="2"/>
      <c r="P5" s="2"/>
      <c r="Q5" s="2"/>
      <c r="R5" s="2"/>
      <c r="S5" s="2"/>
      <c r="T5" s="2"/>
      <c r="U5" s="2"/>
    </row>
    <row r="6" spans="1:21" ht="6.95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N6" s="9"/>
      <c r="O6" s="2"/>
      <c r="P6" s="2"/>
      <c r="Q6" s="2"/>
      <c r="R6" s="2"/>
      <c r="S6" s="2"/>
      <c r="T6" s="2"/>
      <c r="U6" s="2"/>
    </row>
    <row r="7" spans="1:21" ht="21.95" customHeight="1" x14ac:dyDescent="0.25">
      <c r="A7" s="28" t="s">
        <v>69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N7" s="2"/>
      <c r="O7" s="2"/>
      <c r="P7" s="2"/>
      <c r="Q7" s="2"/>
      <c r="R7" s="2"/>
      <c r="S7" s="2"/>
      <c r="T7" s="2"/>
      <c r="U7" s="2"/>
    </row>
    <row r="8" spans="1:21" ht="6.95" customHeight="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N8" s="2"/>
      <c r="O8" s="2"/>
      <c r="P8" s="2"/>
      <c r="Q8" s="2"/>
      <c r="R8" s="2"/>
      <c r="S8" s="2"/>
      <c r="T8" s="2"/>
      <c r="U8" s="2"/>
    </row>
    <row r="9" spans="1:21" ht="18" customHeight="1" x14ac:dyDescent="0.25">
      <c r="A9" s="295" t="s">
        <v>70</v>
      </c>
      <c r="B9" s="41"/>
      <c r="C9" s="49"/>
      <c r="D9" s="49"/>
      <c r="E9" s="49"/>
      <c r="F9" s="49"/>
      <c r="G9" s="49"/>
      <c r="H9" s="49"/>
      <c r="I9" s="49"/>
      <c r="J9" s="49"/>
      <c r="K9" s="49"/>
      <c r="L9" s="49"/>
      <c r="N9" s="2"/>
      <c r="O9" s="2"/>
      <c r="P9" s="2"/>
      <c r="Q9" s="2"/>
      <c r="R9" s="2"/>
      <c r="S9" s="2"/>
      <c r="T9" s="2"/>
      <c r="U9" s="2"/>
    </row>
    <row r="10" spans="1:21" ht="15" customHeight="1" x14ac:dyDescent="0.25">
      <c r="A10" s="301" t="s">
        <v>71</v>
      </c>
      <c r="B10" s="97"/>
      <c r="C10" s="97"/>
      <c r="D10" s="97"/>
      <c r="E10" s="98"/>
      <c r="F10" s="99"/>
      <c r="G10" s="99"/>
      <c r="H10" s="99"/>
      <c r="I10" s="99"/>
      <c r="J10" s="99"/>
      <c r="K10" s="99"/>
      <c r="L10" s="99"/>
      <c r="N10" s="2"/>
      <c r="O10" s="2"/>
      <c r="P10" s="2"/>
      <c r="Q10" s="2"/>
      <c r="R10" s="2"/>
      <c r="S10" s="2"/>
      <c r="T10" s="2"/>
      <c r="U10" s="2"/>
    </row>
    <row r="11" spans="1:21" ht="15" customHeight="1" x14ac:dyDescent="0.25">
      <c r="A11" s="100"/>
      <c r="B11" s="11"/>
      <c r="C11" s="11"/>
      <c r="D11" s="101"/>
      <c r="E11" s="99"/>
      <c r="F11" s="99"/>
      <c r="G11" s="99"/>
      <c r="H11" s="99"/>
      <c r="I11" s="99"/>
      <c r="J11" s="99"/>
      <c r="K11" s="99"/>
      <c r="L11" s="99"/>
      <c r="N11" s="2"/>
      <c r="O11" s="2"/>
      <c r="P11" s="2"/>
      <c r="Q11" s="2"/>
      <c r="R11" s="2"/>
      <c r="S11" s="2"/>
      <c r="T11" s="2"/>
      <c r="U11" s="2"/>
    </row>
    <row r="12" spans="1:21" ht="15" customHeight="1" x14ac:dyDescent="0.25">
      <c r="A12" s="102"/>
      <c r="B12" s="103"/>
      <c r="C12" s="103"/>
      <c r="D12" s="104"/>
      <c r="E12" s="99"/>
      <c r="F12" s="99"/>
      <c r="G12" s="99"/>
      <c r="H12" s="99"/>
      <c r="I12" s="99"/>
      <c r="J12" s="99"/>
      <c r="K12" s="99"/>
      <c r="L12" s="99"/>
      <c r="N12" s="2"/>
      <c r="O12" s="2"/>
      <c r="P12" s="2"/>
      <c r="Q12" s="2"/>
      <c r="R12" s="2"/>
      <c r="S12" s="2"/>
      <c r="T12" s="2"/>
      <c r="U12" s="2"/>
    </row>
    <row r="13" spans="1:21" ht="17.100000000000001" customHeight="1" x14ac:dyDescent="0.25">
      <c r="A13" s="14" t="s">
        <v>72</v>
      </c>
      <c r="B13" s="14"/>
      <c r="C13" s="14"/>
      <c r="D13" s="14"/>
      <c r="E13" s="15"/>
      <c r="F13" s="16"/>
      <c r="G13" s="16"/>
      <c r="H13" s="16"/>
      <c r="I13" s="16"/>
      <c r="J13" s="16"/>
      <c r="K13" s="16"/>
      <c r="L13" s="16"/>
      <c r="N13" s="2"/>
      <c r="O13" s="2"/>
      <c r="P13" s="2"/>
      <c r="Q13" s="2"/>
      <c r="R13" s="2"/>
      <c r="S13" s="2"/>
      <c r="T13" s="2"/>
      <c r="U13" s="2"/>
    </row>
    <row r="14" spans="1:21" ht="17.100000000000001" customHeight="1" x14ac:dyDescent="0.25">
      <c r="A14" s="14" t="s">
        <v>73</v>
      </c>
      <c r="B14" s="14"/>
      <c r="C14" s="14"/>
      <c r="D14" s="14"/>
      <c r="E14" s="15"/>
      <c r="F14" s="16"/>
      <c r="G14" s="16"/>
      <c r="H14" s="16"/>
      <c r="I14" s="16"/>
      <c r="J14" s="16"/>
      <c r="K14" s="16"/>
      <c r="L14" s="16"/>
      <c r="N14" s="2"/>
      <c r="O14" s="2"/>
      <c r="P14" s="2"/>
      <c r="Q14" s="2"/>
      <c r="R14" s="2"/>
      <c r="S14" s="2"/>
      <c r="T14" s="2"/>
      <c r="U14" s="2"/>
    </row>
    <row r="15" spans="1:21" ht="17.100000000000001" customHeight="1" x14ac:dyDescent="0.25">
      <c r="A15" s="14" t="s">
        <v>235</v>
      </c>
      <c r="B15" s="14"/>
      <c r="C15" s="14"/>
      <c r="D15" s="14"/>
      <c r="E15" s="15"/>
      <c r="F15" s="16"/>
      <c r="G15" s="16"/>
      <c r="H15" s="16"/>
      <c r="I15" s="16"/>
      <c r="J15" s="16"/>
      <c r="K15" s="16"/>
      <c r="L15" s="16"/>
      <c r="N15" s="2"/>
      <c r="O15" s="2"/>
      <c r="P15" s="2"/>
      <c r="Q15" s="2"/>
      <c r="R15" s="2"/>
      <c r="S15" s="2"/>
      <c r="T15" s="2"/>
      <c r="U15" s="2"/>
    </row>
    <row r="16" spans="1:21" ht="17.100000000000001" customHeight="1" x14ac:dyDescent="0.25">
      <c r="A16" s="14" t="s">
        <v>74</v>
      </c>
      <c r="B16" s="14"/>
      <c r="C16" s="14"/>
      <c r="D16" s="14"/>
      <c r="E16" s="15"/>
      <c r="F16" s="16"/>
      <c r="G16" s="16"/>
      <c r="H16" s="16"/>
      <c r="I16" s="16"/>
      <c r="J16" s="16"/>
      <c r="K16" s="16"/>
      <c r="L16" s="16"/>
      <c r="N16" s="2"/>
      <c r="O16" s="2"/>
      <c r="P16" s="2"/>
      <c r="Q16" s="2"/>
      <c r="R16" s="2"/>
      <c r="S16" s="2"/>
      <c r="T16" s="2"/>
      <c r="U16" s="2"/>
    </row>
    <row r="17" spans="1:21" ht="6.95" customHeight="1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N17" s="2"/>
      <c r="O17" s="2"/>
      <c r="P17" s="2"/>
      <c r="Q17" s="2"/>
      <c r="R17" s="2"/>
      <c r="S17" s="2"/>
      <c r="T17" s="2"/>
      <c r="U17" s="2"/>
    </row>
    <row r="18" spans="1:21" ht="18" customHeight="1" x14ac:dyDescent="0.25">
      <c r="A18" s="295" t="s">
        <v>75</v>
      </c>
      <c r="B18" s="41"/>
      <c r="C18" s="49"/>
      <c r="D18" s="49"/>
      <c r="E18" s="49"/>
      <c r="F18" s="49"/>
      <c r="G18" s="49"/>
      <c r="H18" s="49"/>
      <c r="I18" s="49"/>
      <c r="J18" s="49"/>
      <c r="K18" s="49"/>
      <c r="L18" s="49"/>
      <c r="N18" s="2"/>
      <c r="O18" s="2"/>
      <c r="P18" s="2"/>
      <c r="Q18" s="2"/>
      <c r="R18" s="2"/>
      <c r="S18" s="2"/>
      <c r="T18" s="2"/>
      <c r="U18" s="2"/>
    </row>
    <row r="19" spans="1:21" ht="15" customHeight="1" x14ac:dyDescent="0.25">
      <c r="A19" s="301" t="s">
        <v>76</v>
      </c>
      <c r="B19" s="97"/>
      <c r="C19" s="97"/>
      <c r="D19" s="97"/>
      <c r="E19" s="98"/>
      <c r="F19" s="99"/>
      <c r="G19" s="99"/>
      <c r="H19" s="99"/>
      <c r="I19" s="99"/>
      <c r="J19" s="99"/>
      <c r="K19" s="99"/>
      <c r="L19" s="99"/>
      <c r="N19" s="2"/>
      <c r="O19" s="2"/>
      <c r="P19" s="2"/>
      <c r="Q19" s="2"/>
      <c r="R19" s="2"/>
      <c r="S19" s="2"/>
      <c r="T19" s="2"/>
      <c r="U19" s="2"/>
    </row>
    <row r="20" spans="1:21" ht="15" customHeight="1" x14ac:dyDescent="0.25">
      <c r="A20" s="100"/>
      <c r="B20" s="11"/>
      <c r="C20" s="11"/>
      <c r="D20" s="101"/>
      <c r="E20" s="99"/>
      <c r="F20" s="99"/>
      <c r="G20" s="99"/>
      <c r="H20" s="99"/>
      <c r="I20" s="99"/>
      <c r="J20" s="99"/>
      <c r="K20" s="99"/>
      <c r="L20" s="99"/>
      <c r="N20" s="2"/>
      <c r="O20" s="2"/>
      <c r="P20" s="2"/>
      <c r="Q20" s="2"/>
      <c r="R20" s="2"/>
      <c r="S20" s="2"/>
      <c r="T20" s="2"/>
      <c r="U20" s="2"/>
    </row>
    <row r="21" spans="1:21" ht="15" customHeight="1" x14ac:dyDescent="0.25">
      <c r="A21" s="100"/>
      <c r="B21" s="11"/>
      <c r="C21" s="11"/>
      <c r="D21" s="101"/>
      <c r="E21" s="99"/>
      <c r="F21" s="99"/>
      <c r="G21" s="99"/>
      <c r="H21" s="99"/>
      <c r="I21" s="99"/>
      <c r="J21" s="99"/>
      <c r="K21" s="99"/>
      <c r="L21" s="99"/>
      <c r="N21" s="2"/>
      <c r="O21" s="2"/>
      <c r="P21" s="2"/>
      <c r="Q21" s="2"/>
      <c r="R21" s="2"/>
      <c r="S21" s="2"/>
      <c r="T21" s="2"/>
      <c r="U21" s="2"/>
    </row>
    <row r="22" spans="1:21" ht="15" customHeight="1" x14ac:dyDescent="0.25">
      <c r="A22" s="102"/>
      <c r="B22" s="103"/>
      <c r="C22" s="103"/>
      <c r="D22" s="104"/>
      <c r="E22" s="99"/>
      <c r="F22" s="99"/>
      <c r="G22" s="99"/>
      <c r="H22" s="99"/>
      <c r="I22" s="99"/>
      <c r="J22" s="99"/>
      <c r="K22" s="99"/>
      <c r="L22" s="99"/>
      <c r="N22" s="2"/>
      <c r="O22" s="2"/>
      <c r="P22" s="2"/>
      <c r="Q22" s="2"/>
      <c r="R22" s="2"/>
      <c r="S22" s="2"/>
      <c r="T22" s="2"/>
      <c r="U22" s="2"/>
    </row>
    <row r="23" spans="1:21" ht="6.95" customHeight="1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N23" s="2"/>
      <c r="O23" s="2"/>
      <c r="P23" s="2"/>
      <c r="Q23" s="2"/>
      <c r="R23" s="2"/>
      <c r="S23" s="2"/>
      <c r="T23" s="2"/>
      <c r="U23" s="2"/>
    </row>
    <row r="24" spans="1:21" ht="18" customHeight="1" x14ac:dyDescent="0.25">
      <c r="A24" s="295" t="s">
        <v>77</v>
      </c>
      <c r="B24" s="41"/>
      <c r="C24" s="49"/>
      <c r="D24" s="49"/>
      <c r="E24" s="49"/>
      <c r="F24" s="49"/>
      <c r="G24" s="49"/>
      <c r="H24" s="49"/>
      <c r="I24" s="49"/>
      <c r="J24" s="49"/>
      <c r="K24" s="49"/>
      <c r="L24" s="49"/>
      <c r="N24" s="2"/>
      <c r="O24" s="2"/>
      <c r="P24" s="2"/>
      <c r="Q24" s="2"/>
      <c r="R24" s="2"/>
      <c r="S24" s="2"/>
      <c r="T24" s="2"/>
      <c r="U24" s="2"/>
    </row>
    <row r="25" spans="1:21" ht="17.100000000000001" customHeight="1" x14ac:dyDescent="0.25">
      <c r="A25" s="296" t="s">
        <v>78</v>
      </c>
      <c r="B25" s="14"/>
      <c r="C25" s="14"/>
      <c r="D25" s="14"/>
      <c r="E25" s="15"/>
      <c r="F25" s="16"/>
      <c r="G25" s="16"/>
      <c r="H25" s="16"/>
      <c r="I25" s="16"/>
      <c r="J25" s="16"/>
      <c r="K25" s="16"/>
      <c r="L25" s="16"/>
      <c r="N25" s="2"/>
      <c r="O25" s="2"/>
      <c r="P25" s="2"/>
      <c r="Q25" s="2"/>
      <c r="R25" s="2"/>
      <c r="S25" s="2"/>
      <c r="T25" s="2"/>
      <c r="U25" s="2"/>
    </row>
    <row r="26" spans="1:21" ht="17.100000000000001" customHeight="1" x14ac:dyDescent="0.25">
      <c r="A26" s="14" t="s">
        <v>79</v>
      </c>
      <c r="B26" s="14"/>
      <c r="C26" s="14"/>
      <c r="D26" s="14"/>
      <c r="E26" s="15"/>
      <c r="F26" s="16"/>
      <c r="G26" s="16"/>
      <c r="H26" s="16"/>
      <c r="I26" s="16"/>
      <c r="J26" s="16"/>
      <c r="K26" s="16"/>
      <c r="L26" s="16"/>
      <c r="N26" s="2"/>
      <c r="O26" s="2"/>
      <c r="P26" s="2"/>
      <c r="Q26" s="2"/>
      <c r="R26" s="2"/>
      <c r="S26" s="2"/>
      <c r="T26" s="2"/>
      <c r="U26" s="2"/>
    </row>
    <row r="27" spans="1:21" ht="17.100000000000001" customHeight="1" x14ac:dyDescent="0.25">
      <c r="A27" s="14" t="s">
        <v>80</v>
      </c>
      <c r="B27" s="14"/>
      <c r="C27" s="14"/>
      <c r="D27" s="14"/>
      <c r="E27" s="15"/>
      <c r="F27" s="16"/>
      <c r="G27" s="16"/>
      <c r="H27" s="16"/>
      <c r="I27" s="16"/>
      <c r="J27" s="16"/>
      <c r="K27" s="16"/>
      <c r="L27" s="16"/>
      <c r="N27" s="2"/>
      <c r="O27" s="2"/>
      <c r="P27" s="2"/>
      <c r="Q27" s="2"/>
      <c r="R27" s="2"/>
      <c r="S27" s="2"/>
      <c r="T27" s="2"/>
      <c r="U27" s="2"/>
    </row>
    <row r="28" spans="1:21" ht="17.100000000000001" customHeight="1" x14ac:dyDescent="0.25">
      <c r="A28" s="14" t="s">
        <v>81</v>
      </c>
      <c r="B28" s="14"/>
      <c r="C28" s="14"/>
      <c r="D28" s="14"/>
      <c r="E28" s="15"/>
      <c r="F28" s="16"/>
      <c r="G28" s="16"/>
      <c r="H28" s="16"/>
      <c r="I28" s="16"/>
      <c r="J28" s="16"/>
      <c r="K28" s="16"/>
      <c r="L28" s="16"/>
      <c r="N28" s="2"/>
      <c r="O28" s="2"/>
      <c r="P28" s="2"/>
      <c r="Q28" s="2"/>
      <c r="R28" s="2"/>
      <c r="S28" s="2"/>
      <c r="T28" s="2"/>
      <c r="U28" s="2"/>
    </row>
    <row r="29" spans="1:21" ht="6.95" customHeight="1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N29" s="2"/>
      <c r="O29" s="2"/>
      <c r="P29" s="2"/>
      <c r="Q29" s="2"/>
      <c r="R29" s="2"/>
      <c r="S29" s="2"/>
      <c r="T29" s="2"/>
      <c r="U29" s="2"/>
    </row>
    <row r="30" spans="1:21" ht="18" customHeight="1" x14ac:dyDescent="0.25">
      <c r="A30" s="295" t="s">
        <v>82</v>
      </c>
      <c r="B30" s="41"/>
      <c r="C30" s="49"/>
      <c r="D30" s="49"/>
      <c r="E30" s="49"/>
      <c r="F30" s="49"/>
      <c r="G30" s="49"/>
      <c r="H30" s="49"/>
      <c r="I30" s="49"/>
      <c r="J30" s="49"/>
      <c r="K30" s="49"/>
      <c r="L30" s="49"/>
      <c r="N30" s="2"/>
      <c r="O30" s="2"/>
      <c r="P30" s="2"/>
      <c r="Q30" s="2"/>
      <c r="R30" s="2"/>
      <c r="S30" s="2"/>
      <c r="T30" s="2"/>
      <c r="U30" s="2"/>
    </row>
    <row r="31" spans="1:21" ht="15" customHeight="1" x14ac:dyDescent="0.25">
      <c r="A31" s="301" t="s">
        <v>83</v>
      </c>
      <c r="B31" s="97"/>
      <c r="C31" s="97"/>
      <c r="D31" s="97"/>
      <c r="E31" s="98"/>
      <c r="F31" s="99"/>
      <c r="G31" s="99"/>
      <c r="H31" s="99"/>
      <c r="I31" s="99"/>
      <c r="J31" s="99"/>
      <c r="K31" s="99"/>
      <c r="L31" s="99"/>
      <c r="N31" s="2"/>
      <c r="O31" s="2"/>
      <c r="P31" s="2"/>
      <c r="Q31" s="2"/>
      <c r="R31" s="2"/>
      <c r="S31" s="2"/>
      <c r="T31" s="2"/>
      <c r="U31" s="2"/>
    </row>
    <row r="32" spans="1:21" ht="15" customHeight="1" x14ac:dyDescent="0.25">
      <c r="A32" s="100"/>
      <c r="B32" s="11"/>
      <c r="C32" s="11"/>
      <c r="D32" s="101"/>
      <c r="E32" s="99"/>
      <c r="F32" s="99"/>
      <c r="G32" s="99"/>
      <c r="H32" s="99"/>
      <c r="I32" s="99"/>
      <c r="J32" s="99"/>
      <c r="K32" s="99"/>
      <c r="L32" s="99"/>
      <c r="N32" s="2"/>
      <c r="O32" s="2"/>
      <c r="P32" s="2"/>
      <c r="Q32" s="2"/>
      <c r="R32" s="2"/>
      <c r="S32" s="2"/>
      <c r="T32" s="2"/>
      <c r="U32" s="2"/>
    </row>
    <row r="33" spans="1:21" ht="15" customHeight="1" x14ac:dyDescent="0.25">
      <c r="A33" s="102"/>
      <c r="B33" s="103"/>
      <c r="C33" s="103"/>
      <c r="D33" s="104"/>
      <c r="E33" s="99"/>
      <c r="F33" s="99"/>
      <c r="G33" s="99"/>
      <c r="H33" s="99"/>
      <c r="I33" s="99"/>
      <c r="J33" s="99"/>
      <c r="K33" s="99"/>
      <c r="L33" s="99"/>
      <c r="N33" s="2"/>
      <c r="O33" s="2"/>
      <c r="P33" s="2"/>
      <c r="Q33" s="2"/>
      <c r="R33" s="2"/>
      <c r="S33" s="2"/>
      <c r="T33" s="2"/>
      <c r="U33" s="2"/>
    </row>
    <row r="34" spans="1:21" ht="6.95" customHeight="1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N34" s="2"/>
      <c r="O34" s="2"/>
      <c r="P34" s="2"/>
      <c r="Q34" s="2"/>
      <c r="R34" s="2"/>
      <c r="S34" s="2"/>
      <c r="T34" s="2"/>
      <c r="U34" s="2"/>
    </row>
    <row r="35" spans="1:21" ht="18" customHeight="1" x14ac:dyDescent="0.25">
      <c r="A35" s="295" t="s">
        <v>84</v>
      </c>
      <c r="B35" s="41"/>
      <c r="C35" s="49"/>
      <c r="D35" s="49"/>
      <c r="E35" s="49"/>
      <c r="F35" s="49"/>
      <c r="G35" s="49"/>
      <c r="H35" s="49"/>
      <c r="I35" s="49"/>
      <c r="J35" s="49"/>
      <c r="K35" s="49"/>
      <c r="L35" s="49"/>
      <c r="N35" s="2"/>
      <c r="O35" s="2"/>
      <c r="P35" s="2"/>
      <c r="Q35" s="2"/>
      <c r="R35" s="2"/>
      <c r="S35" s="2"/>
      <c r="T35" s="2"/>
      <c r="U35" s="2"/>
    </row>
    <row r="36" spans="1:21" ht="17.100000000000001" customHeight="1" x14ac:dyDescent="0.25">
      <c r="A36" s="296" t="s">
        <v>85</v>
      </c>
      <c r="B36" s="14"/>
      <c r="C36" s="14"/>
      <c r="D36" s="15"/>
      <c r="E36" s="16"/>
      <c r="F36" s="16"/>
      <c r="G36" s="14" t="s">
        <v>86</v>
      </c>
      <c r="H36" s="14"/>
      <c r="I36" s="15"/>
      <c r="J36" s="16"/>
      <c r="K36" s="16"/>
      <c r="L36" s="16"/>
      <c r="N36" s="2"/>
      <c r="O36" s="2"/>
      <c r="P36" s="2"/>
      <c r="Q36" s="2"/>
      <c r="R36" s="2"/>
      <c r="S36" s="2"/>
      <c r="T36" s="2"/>
      <c r="U36" s="2"/>
    </row>
    <row r="37" spans="1:21" ht="17.100000000000001" customHeight="1" x14ac:dyDescent="0.25">
      <c r="A37" s="14" t="s">
        <v>87</v>
      </c>
      <c r="B37" s="14"/>
      <c r="C37" s="14"/>
      <c r="D37" s="15"/>
      <c r="E37" s="16"/>
      <c r="F37" s="16"/>
      <c r="G37" s="14" t="s">
        <v>88</v>
      </c>
      <c r="H37" s="14"/>
      <c r="I37" s="15"/>
      <c r="J37" s="16"/>
      <c r="K37" s="16"/>
      <c r="L37" s="16"/>
      <c r="N37" s="2"/>
      <c r="O37" s="2"/>
      <c r="P37" s="2"/>
      <c r="Q37" s="2"/>
      <c r="R37" s="2"/>
      <c r="S37" s="2"/>
      <c r="T37" s="2"/>
      <c r="U37" s="2"/>
    </row>
    <row r="38" spans="1:21" ht="6.95" customHeight="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N38" s="2"/>
      <c r="O38" s="2"/>
      <c r="P38" s="2"/>
      <c r="Q38" s="2"/>
      <c r="R38" s="2"/>
      <c r="S38" s="2"/>
      <c r="T38" s="2"/>
      <c r="U38" s="2"/>
    </row>
    <row r="39" spans="1:21" ht="15" customHeight="1" x14ac:dyDescent="0.25">
      <c r="A39" s="370" t="s">
        <v>89</v>
      </c>
      <c r="B39" s="290"/>
      <c r="C39" s="13"/>
      <c r="D39" s="13"/>
      <c r="E39" s="13"/>
      <c r="F39" s="13"/>
      <c r="G39" s="13"/>
      <c r="H39" s="13"/>
      <c r="I39" s="13"/>
      <c r="J39" s="13"/>
      <c r="K39" s="13"/>
      <c r="L39" s="13"/>
      <c r="N39" s="2"/>
      <c r="O39" s="2"/>
      <c r="P39" s="2"/>
      <c r="Q39" s="2"/>
      <c r="R39" s="2"/>
      <c r="S39" s="2"/>
      <c r="T39" s="2"/>
      <c r="U39" s="2"/>
    </row>
    <row r="40" spans="1:21" ht="15" customHeight="1" x14ac:dyDescent="0.25">
      <c r="A40" s="291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N40" s="2"/>
      <c r="O40" s="2"/>
      <c r="P40" s="2"/>
      <c r="Q40" s="2"/>
      <c r="R40" s="2"/>
      <c r="S40" s="2"/>
      <c r="T40" s="2"/>
      <c r="U40" s="2"/>
    </row>
    <row r="41" spans="1:21" ht="15" customHeight="1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N41" s="2"/>
      <c r="O41" s="2"/>
      <c r="P41" s="2"/>
      <c r="Q41" s="2"/>
      <c r="R41" s="2"/>
      <c r="S41" s="2"/>
      <c r="T41" s="2"/>
      <c r="U41" s="2"/>
    </row>
    <row r="42" spans="1:21" ht="15" customHeight="1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N42" s="2"/>
      <c r="O42" s="2"/>
      <c r="P42" s="2"/>
      <c r="Q42" s="2"/>
      <c r="R42" s="2"/>
      <c r="S42" s="2"/>
      <c r="T42" s="2"/>
      <c r="U42" s="2"/>
    </row>
    <row r="43" spans="1:21" ht="15" customHeight="1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N43" s="2"/>
      <c r="O43" s="2"/>
      <c r="P43" s="2"/>
      <c r="Q43" s="2"/>
      <c r="R43" s="2"/>
      <c r="S43" s="2"/>
      <c r="T43" s="2"/>
      <c r="U43" s="2"/>
    </row>
    <row r="44" spans="1:21" ht="15" customHeight="1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N44" s="2"/>
      <c r="O44" s="2"/>
      <c r="P44" s="2"/>
      <c r="Q44" s="2"/>
      <c r="R44" s="2"/>
      <c r="S44" s="2"/>
      <c r="T44" s="2"/>
      <c r="U44" s="2"/>
    </row>
    <row r="45" spans="1:21" ht="15" customHeight="1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N45" s="2"/>
      <c r="O45" s="2"/>
      <c r="P45" s="2"/>
      <c r="Q45" s="2"/>
      <c r="R45" s="2"/>
      <c r="S45" s="2"/>
      <c r="T45" s="2"/>
      <c r="U45" s="2"/>
    </row>
    <row r="46" spans="1:21" ht="15" customHeight="1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N46" s="2"/>
      <c r="O46" s="2"/>
      <c r="P46" s="2"/>
      <c r="Q46" s="2"/>
      <c r="R46" s="2"/>
      <c r="S46" s="2"/>
      <c r="T46" s="2"/>
      <c r="U46" s="2"/>
    </row>
    <row r="47" spans="1:21" ht="15" customHeight="1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N47" s="2"/>
      <c r="O47" s="2"/>
      <c r="P47" s="2"/>
      <c r="Q47" s="2"/>
      <c r="R47" s="2"/>
      <c r="S47" s="2"/>
      <c r="T47" s="2"/>
      <c r="U47" s="2"/>
    </row>
    <row r="48" spans="1:21" ht="6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N48" s="2"/>
      <c r="O48" s="2"/>
      <c r="P48" s="2"/>
      <c r="Q48" s="2"/>
      <c r="R48" s="2"/>
      <c r="S48" s="2"/>
      <c r="T48" s="2"/>
      <c r="U48" s="2"/>
    </row>
    <row r="49" spans="1:2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N49" s="2"/>
      <c r="O49" s="2"/>
      <c r="P49" s="2"/>
      <c r="Q49" s="2"/>
      <c r="R49" s="2"/>
      <c r="S49" s="2"/>
      <c r="T49" s="2"/>
      <c r="U49" s="2"/>
    </row>
    <row r="50" spans="1:2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N50" s="2"/>
      <c r="O50" s="2"/>
      <c r="P50" s="2"/>
      <c r="Q50" s="2"/>
      <c r="R50" s="2"/>
      <c r="S50" s="2"/>
      <c r="T50" s="2"/>
      <c r="U50" s="2"/>
    </row>
    <row r="51" spans="1:2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N51" s="2"/>
      <c r="O51" s="2"/>
      <c r="P51" s="2"/>
      <c r="Q51" s="2"/>
      <c r="R51" s="2"/>
      <c r="S51" s="2"/>
      <c r="T51" s="2"/>
      <c r="U51" s="2"/>
    </row>
    <row r="52" spans="1:2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N52" s="2"/>
      <c r="O52" s="2"/>
      <c r="P52" s="2"/>
      <c r="Q52" s="2"/>
      <c r="R52" s="2"/>
      <c r="S52" s="2"/>
      <c r="T52" s="2"/>
      <c r="U52" s="2"/>
    </row>
    <row r="53" spans="1:2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N53" s="2"/>
      <c r="O53" s="2"/>
      <c r="P53" s="2"/>
      <c r="Q53" s="2"/>
      <c r="R53" s="2"/>
      <c r="S53" s="2"/>
      <c r="T53" s="2"/>
      <c r="U53" s="2"/>
    </row>
    <row r="54" spans="1:2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N54" s="2"/>
      <c r="O54" s="2"/>
      <c r="P54" s="2"/>
      <c r="Q54" s="2"/>
      <c r="R54" s="2"/>
      <c r="S54" s="2"/>
      <c r="T54" s="2"/>
      <c r="U54" s="2"/>
    </row>
    <row r="55" spans="1:2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N55" s="2"/>
      <c r="O55" s="2"/>
      <c r="P55" s="2"/>
      <c r="Q55" s="2"/>
      <c r="R55" s="2"/>
      <c r="S55" s="2"/>
      <c r="T55" s="2"/>
      <c r="U55" s="2"/>
    </row>
    <row r="56" spans="1:2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N56" s="2"/>
      <c r="O56" s="2"/>
      <c r="P56" s="2"/>
      <c r="Q56" s="2"/>
      <c r="R56" s="2"/>
      <c r="S56" s="2"/>
      <c r="T56" s="2"/>
      <c r="U56" s="2"/>
    </row>
    <row r="57" spans="1:2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N57" s="2"/>
      <c r="O57" s="2"/>
      <c r="P57" s="2"/>
      <c r="Q57" s="2"/>
      <c r="R57" s="2"/>
      <c r="S57" s="2"/>
      <c r="T57" s="2"/>
      <c r="U57" s="2"/>
    </row>
    <row r="58" spans="1:2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N58" s="2"/>
      <c r="O58" s="2"/>
      <c r="P58" s="2"/>
      <c r="Q58" s="2"/>
      <c r="R58" s="2"/>
      <c r="S58" s="2"/>
      <c r="T58" s="2"/>
      <c r="U58" s="2"/>
    </row>
    <row r="59" spans="1:2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N59" s="2"/>
      <c r="O59" s="2"/>
      <c r="P59" s="2"/>
      <c r="Q59" s="2"/>
      <c r="R59" s="2"/>
      <c r="S59" s="2"/>
      <c r="T59" s="2"/>
      <c r="U59" s="2"/>
    </row>
    <row r="60" spans="1:2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N60" s="2"/>
      <c r="O60" s="2"/>
      <c r="P60" s="2"/>
      <c r="Q60" s="2"/>
      <c r="R60" s="2"/>
      <c r="S60" s="2"/>
      <c r="T60" s="2"/>
      <c r="U60" s="2"/>
    </row>
    <row r="61" spans="1:21" x14ac:dyDescent="0.25">
      <c r="N61" s="2"/>
      <c r="O61" s="2"/>
      <c r="P61" s="2"/>
      <c r="Q61" s="2"/>
      <c r="R61" s="2"/>
      <c r="S61" s="2"/>
      <c r="T61" s="2"/>
      <c r="U61" s="2"/>
    </row>
    <row r="62" spans="1:21" x14ac:dyDescent="0.25">
      <c r="N62" s="2"/>
      <c r="O62" s="2"/>
      <c r="P62" s="2"/>
      <c r="Q62" s="2"/>
      <c r="R62" s="2"/>
      <c r="S62" s="2"/>
      <c r="T62" s="2"/>
      <c r="U62" s="2"/>
    </row>
    <row r="63" spans="1:21" x14ac:dyDescent="0.25">
      <c r="N63" s="2"/>
      <c r="O63" s="2"/>
      <c r="P63" s="2"/>
      <c r="Q63" s="2"/>
      <c r="R63" s="2"/>
      <c r="S63" s="2"/>
      <c r="T63" s="2"/>
      <c r="U63" s="2"/>
    </row>
    <row r="64" spans="1:21" x14ac:dyDescent="0.25">
      <c r="N64" s="2"/>
      <c r="O64" s="2"/>
      <c r="P64" s="2"/>
      <c r="Q64" s="2"/>
      <c r="R64" s="2"/>
      <c r="S64" s="2"/>
      <c r="T64" s="2"/>
      <c r="U64" s="2"/>
    </row>
    <row r="65" spans="14:21" x14ac:dyDescent="0.25">
      <c r="N65" s="2"/>
      <c r="O65" s="2"/>
      <c r="P65" s="2"/>
      <c r="Q65" s="2"/>
      <c r="R65" s="2"/>
      <c r="S65" s="2"/>
      <c r="T65" s="2"/>
      <c r="U65" s="2"/>
    </row>
    <row r="66" spans="14:21" x14ac:dyDescent="0.25">
      <c r="N66" s="2"/>
      <c r="O66" s="2"/>
      <c r="P66" s="2"/>
      <c r="Q66" s="2"/>
      <c r="R66" s="2"/>
      <c r="S66" s="2"/>
      <c r="T66" s="2"/>
      <c r="U66" s="2"/>
    </row>
    <row r="67" spans="14:21" x14ac:dyDescent="0.25">
      <c r="N67" s="2"/>
      <c r="O67" s="2"/>
      <c r="P67" s="2"/>
      <c r="Q67" s="2"/>
      <c r="R67" s="2"/>
      <c r="S67" s="2"/>
      <c r="T67" s="2"/>
      <c r="U67" s="2"/>
    </row>
    <row r="68" spans="14:21" x14ac:dyDescent="0.25">
      <c r="N68" s="2"/>
      <c r="O68" s="2"/>
      <c r="P68" s="2"/>
      <c r="Q68" s="2"/>
      <c r="R68" s="2"/>
      <c r="S68" s="2"/>
      <c r="T68" s="2"/>
      <c r="U68" s="2"/>
    </row>
    <row r="69" spans="14:21" x14ac:dyDescent="0.25">
      <c r="N69" s="2"/>
      <c r="O69" s="2"/>
      <c r="P69" s="2"/>
      <c r="Q69" s="2"/>
      <c r="R69" s="2"/>
      <c r="S69" s="2"/>
      <c r="T69" s="2"/>
      <c r="U69" s="2"/>
    </row>
    <row r="70" spans="14:21" x14ac:dyDescent="0.25">
      <c r="N70" s="2"/>
      <c r="O70" s="2"/>
      <c r="P70" s="2"/>
      <c r="Q70" s="2"/>
      <c r="R70" s="2"/>
      <c r="S70" s="2"/>
      <c r="T70" s="2"/>
      <c r="U70" s="2"/>
    </row>
    <row r="71" spans="14:21" x14ac:dyDescent="0.25">
      <c r="N71" s="2"/>
      <c r="O71" s="2"/>
      <c r="P71" s="2"/>
      <c r="Q71" s="2"/>
      <c r="R71" s="2"/>
      <c r="S71" s="2"/>
      <c r="T71" s="2"/>
      <c r="U71" s="2"/>
    </row>
    <row r="72" spans="14:21" x14ac:dyDescent="0.25">
      <c r="N72" s="2"/>
      <c r="O72" s="2"/>
      <c r="P72" s="2"/>
      <c r="Q72" s="2"/>
      <c r="R72" s="2"/>
      <c r="S72" s="2"/>
      <c r="T72" s="2"/>
      <c r="U72" s="2"/>
    </row>
    <row r="73" spans="14:21" x14ac:dyDescent="0.25">
      <c r="N73" s="2"/>
      <c r="O73" s="2"/>
      <c r="P73" s="2"/>
      <c r="Q73" s="2"/>
      <c r="R73" s="2"/>
      <c r="S73" s="2"/>
      <c r="T73" s="2"/>
      <c r="U73" s="2"/>
    </row>
    <row r="74" spans="14:21" x14ac:dyDescent="0.25">
      <c r="N74" s="2"/>
      <c r="O74" s="2"/>
      <c r="P74" s="2"/>
      <c r="Q74" s="2"/>
      <c r="R74" s="2"/>
      <c r="S74" s="2"/>
      <c r="T74" s="2"/>
      <c r="U74" s="2"/>
    </row>
    <row r="75" spans="14:21" x14ac:dyDescent="0.25">
      <c r="N75" s="2"/>
      <c r="O75" s="2"/>
      <c r="P75" s="2"/>
      <c r="Q75" s="2"/>
      <c r="R75" s="2"/>
      <c r="S75" s="2"/>
      <c r="T75" s="2"/>
      <c r="U75" s="2"/>
    </row>
    <row r="76" spans="14:21" x14ac:dyDescent="0.25">
      <c r="N76" s="2"/>
      <c r="O76" s="2"/>
      <c r="P76" s="2"/>
      <c r="Q76" s="2"/>
      <c r="R76" s="2"/>
      <c r="S76" s="2"/>
      <c r="T76" s="2"/>
      <c r="U76" s="2"/>
    </row>
    <row r="77" spans="14:21" x14ac:dyDescent="0.25">
      <c r="N77" s="2"/>
      <c r="O77" s="2"/>
      <c r="P77" s="2"/>
      <c r="Q77" s="2"/>
      <c r="R77" s="2"/>
      <c r="S77" s="2"/>
      <c r="T77" s="2"/>
      <c r="U77" s="2"/>
    </row>
    <row r="78" spans="14:21" x14ac:dyDescent="0.25">
      <c r="N78" s="2"/>
      <c r="O78" s="2"/>
      <c r="P78" s="2"/>
      <c r="Q78" s="2"/>
      <c r="R78" s="2"/>
      <c r="S78" s="2"/>
      <c r="T78" s="2"/>
      <c r="U78" s="2"/>
    </row>
    <row r="79" spans="14:21" x14ac:dyDescent="0.25">
      <c r="N79" s="2"/>
      <c r="O79" s="2"/>
      <c r="P79" s="2"/>
      <c r="Q79" s="2"/>
      <c r="R79" s="2"/>
      <c r="S79" s="2"/>
      <c r="T79" s="2"/>
      <c r="U79" s="2"/>
    </row>
    <row r="80" spans="14:21" x14ac:dyDescent="0.25">
      <c r="N80" s="2"/>
      <c r="O80" s="2"/>
      <c r="P80" s="2"/>
      <c r="Q80" s="2"/>
      <c r="R80" s="2"/>
      <c r="S80" s="2"/>
      <c r="T80" s="2"/>
      <c r="U80" s="2"/>
    </row>
    <row r="81" spans="14:21" x14ac:dyDescent="0.25">
      <c r="N81" s="2"/>
      <c r="O81" s="2"/>
      <c r="P81" s="2"/>
      <c r="Q81" s="2"/>
      <c r="R81" s="2"/>
      <c r="S81" s="2"/>
      <c r="T81" s="2"/>
      <c r="U81" s="2"/>
    </row>
    <row r="82" spans="14:21" x14ac:dyDescent="0.25">
      <c r="N82" s="2"/>
      <c r="O82" s="2"/>
      <c r="P82" s="2"/>
      <c r="Q82" s="2"/>
      <c r="R82" s="2"/>
      <c r="S82" s="2"/>
      <c r="T82" s="2"/>
      <c r="U82" s="2"/>
    </row>
    <row r="83" spans="14:21" x14ac:dyDescent="0.25">
      <c r="N83" s="2"/>
      <c r="O83" s="2"/>
      <c r="P83" s="2"/>
      <c r="Q83" s="2"/>
      <c r="R83" s="2"/>
      <c r="S83" s="2"/>
      <c r="T83" s="2"/>
      <c r="U83" s="2"/>
    </row>
    <row r="84" spans="14:21" x14ac:dyDescent="0.25">
      <c r="N84" s="2"/>
      <c r="O84" s="2"/>
      <c r="P84" s="2"/>
      <c r="Q84" s="2"/>
      <c r="R84" s="2"/>
      <c r="S84" s="2"/>
      <c r="T84" s="2"/>
      <c r="U84" s="2"/>
    </row>
    <row r="85" spans="14:21" x14ac:dyDescent="0.25">
      <c r="N85" s="2"/>
      <c r="O85" s="2"/>
      <c r="P85" s="2"/>
      <c r="Q85" s="2"/>
      <c r="R85" s="2"/>
      <c r="S85" s="2"/>
      <c r="T85" s="2"/>
      <c r="U85" s="2"/>
    </row>
    <row r="86" spans="14:21" x14ac:dyDescent="0.25">
      <c r="N86" s="2"/>
      <c r="O86" s="2"/>
      <c r="P86" s="2"/>
      <c r="Q86" s="2"/>
      <c r="R86" s="2"/>
      <c r="S86" s="2"/>
      <c r="T86" s="2"/>
      <c r="U86" s="2"/>
    </row>
    <row r="87" spans="14:21" x14ac:dyDescent="0.25">
      <c r="N87" s="2"/>
      <c r="O87" s="2"/>
      <c r="P87" s="2"/>
      <c r="Q87" s="2"/>
      <c r="R87" s="2"/>
      <c r="S87" s="2"/>
      <c r="T87" s="2"/>
      <c r="U87" s="2"/>
    </row>
    <row r="88" spans="14:21" x14ac:dyDescent="0.25">
      <c r="N88" s="2"/>
      <c r="O88" s="2"/>
      <c r="P88" s="2"/>
      <c r="Q88" s="2"/>
      <c r="R88" s="2"/>
      <c r="S88" s="2"/>
      <c r="T88" s="2"/>
      <c r="U88" s="2"/>
    </row>
    <row r="89" spans="14:21" x14ac:dyDescent="0.25">
      <c r="N89" s="2"/>
      <c r="O89" s="2"/>
      <c r="P89" s="2"/>
      <c r="Q89" s="2"/>
      <c r="R89" s="2"/>
      <c r="S89" s="2"/>
      <c r="T89" s="2"/>
      <c r="U89" s="2"/>
    </row>
    <row r="90" spans="14:21" x14ac:dyDescent="0.25">
      <c r="N90" s="2"/>
      <c r="O90" s="2"/>
      <c r="P90" s="2"/>
      <c r="Q90" s="2"/>
      <c r="R90" s="2"/>
      <c r="S90" s="2"/>
      <c r="T90" s="2"/>
      <c r="U90" s="2"/>
    </row>
    <row r="91" spans="14:21" x14ac:dyDescent="0.25">
      <c r="N91" s="2"/>
      <c r="O91" s="2"/>
      <c r="P91" s="2"/>
      <c r="Q91" s="2"/>
      <c r="R91" s="2"/>
      <c r="S91" s="2"/>
      <c r="T91" s="2"/>
      <c r="U91" s="2"/>
    </row>
    <row r="92" spans="14:21" x14ac:dyDescent="0.25">
      <c r="N92" s="2"/>
      <c r="O92" s="2"/>
      <c r="P92" s="2"/>
      <c r="Q92" s="2"/>
      <c r="R92" s="2"/>
      <c r="S92" s="2"/>
      <c r="T92" s="2"/>
      <c r="U92" s="2"/>
    </row>
    <row r="93" spans="14:21" x14ac:dyDescent="0.25">
      <c r="N93" s="2"/>
      <c r="O93" s="2"/>
      <c r="P93" s="2"/>
      <c r="Q93" s="2"/>
      <c r="R93" s="2"/>
      <c r="S93" s="2"/>
      <c r="T93" s="2"/>
      <c r="U93" s="2"/>
    </row>
    <row r="94" spans="14:21" x14ac:dyDescent="0.25">
      <c r="N94" s="2"/>
      <c r="O94" s="2"/>
      <c r="P94" s="2"/>
      <c r="Q94" s="2"/>
      <c r="R94" s="2"/>
      <c r="S94" s="2"/>
      <c r="T94" s="2"/>
      <c r="U94" s="2"/>
    </row>
    <row r="95" spans="14:21" x14ac:dyDescent="0.25">
      <c r="N95" s="2"/>
      <c r="O95" s="2"/>
      <c r="P95" s="2"/>
      <c r="Q95" s="2"/>
      <c r="R95" s="2"/>
      <c r="S95" s="2"/>
      <c r="T95" s="2"/>
      <c r="U95" s="2"/>
    </row>
    <row r="96" spans="14:21" x14ac:dyDescent="0.25">
      <c r="N96" s="2"/>
      <c r="O96" s="2"/>
      <c r="P96" s="2"/>
      <c r="Q96" s="2"/>
      <c r="R96" s="2"/>
      <c r="S96" s="2"/>
      <c r="T96" s="2"/>
      <c r="U96" s="2"/>
    </row>
    <row r="97" spans="14:21" x14ac:dyDescent="0.25">
      <c r="N97" s="2"/>
      <c r="O97" s="2"/>
      <c r="P97" s="2"/>
      <c r="Q97" s="2"/>
      <c r="R97" s="2"/>
      <c r="S97" s="2"/>
      <c r="T97" s="2"/>
      <c r="U97" s="2"/>
    </row>
    <row r="98" spans="14:21" x14ac:dyDescent="0.25">
      <c r="N98" s="2"/>
      <c r="O98" s="2"/>
      <c r="P98" s="2"/>
      <c r="Q98" s="2"/>
      <c r="R98" s="2"/>
      <c r="S98" s="2"/>
      <c r="T98" s="2"/>
      <c r="U98" s="2"/>
    </row>
    <row r="99" spans="14:21" x14ac:dyDescent="0.25">
      <c r="N99" s="2"/>
      <c r="O99" s="2"/>
      <c r="P99" s="2"/>
      <c r="Q99" s="2"/>
      <c r="R99" s="2"/>
      <c r="S99" s="2"/>
      <c r="T99" s="2"/>
      <c r="U99" s="2"/>
    </row>
    <row r="100" spans="14:21" x14ac:dyDescent="0.25">
      <c r="N100" s="2"/>
      <c r="O100" s="2"/>
      <c r="P100" s="2"/>
      <c r="Q100" s="2"/>
      <c r="R100" s="2"/>
      <c r="S100" s="2"/>
      <c r="T100" s="2"/>
      <c r="U100" s="2"/>
    </row>
    <row r="101" spans="14:21" x14ac:dyDescent="0.25">
      <c r="N101" s="2"/>
      <c r="O101" s="2"/>
      <c r="P101" s="2"/>
      <c r="Q101" s="2"/>
      <c r="R101" s="2"/>
      <c r="S101" s="2"/>
      <c r="T101" s="2"/>
      <c r="U101" s="2"/>
    </row>
    <row r="102" spans="14:21" x14ac:dyDescent="0.25">
      <c r="N102" s="2"/>
      <c r="O102" s="2"/>
      <c r="P102" s="2"/>
      <c r="Q102" s="2"/>
      <c r="R102" s="2"/>
      <c r="S102" s="2"/>
      <c r="T102" s="2"/>
      <c r="U102" s="2"/>
    </row>
    <row r="103" spans="14:21" x14ac:dyDescent="0.25">
      <c r="N103" s="2"/>
      <c r="O103" s="2"/>
      <c r="P103" s="2"/>
      <c r="Q103" s="2"/>
      <c r="R103" s="2"/>
      <c r="S103" s="2"/>
      <c r="T103" s="2"/>
      <c r="U103" s="2"/>
    </row>
    <row r="104" spans="14:21" x14ac:dyDescent="0.25">
      <c r="N104" s="2"/>
      <c r="O104" s="2"/>
      <c r="P104" s="2"/>
      <c r="Q104" s="2"/>
      <c r="R104" s="2"/>
      <c r="S104" s="2"/>
      <c r="T104" s="2"/>
      <c r="U104" s="2"/>
    </row>
    <row r="105" spans="14:21" x14ac:dyDescent="0.25">
      <c r="N105" s="2"/>
      <c r="O105" s="2"/>
      <c r="P105" s="2"/>
      <c r="Q105" s="2"/>
      <c r="R105" s="2"/>
      <c r="S105" s="2"/>
      <c r="T105" s="2"/>
      <c r="U105" s="2"/>
    </row>
    <row r="106" spans="14:21" x14ac:dyDescent="0.25">
      <c r="N106" s="2"/>
      <c r="O106" s="2"/>
      <c r="P106" s="2"/>
      <c r="Q106" s="2"/>
      <c r="R106" s="2"/>
      <c r="S106" s="2"/>
      <c r="T106" s="2"/>
      <c r="U106" s="2"/>
    </row>
    <row r="107" spans="14:21" x14ac:dyDescent="0.25">
      <c r="N107" s="2"/>
      <c r="O107" s="2"/>
      <c r="P107" s="2"/>
      <c r="Q107" s="2"/>
      <c r="R107" s="2"/>
      <c r="S107" s="2"/>
      <c r="T107" s="2"/>
      <c r="U107" s="2"/>
    </row>
    <row r="108" spans="14:21" x14ac:dyDescent="0.25">
      <c r="N108" s="2"/>
      <c r="O108" s="2"/>
      <c r="P108" s="2"/>
      <c r="Q108" s="2"/>
      <c r="R108" s="2"/>
      <c r="S108" s="2"/>
      <c r="T108" s="2"/>
      <c r="U108" s="2"/>
    </row>
    <row r="109" spans="14:21" x14ac:dyDescent="0.25">
      <c r="N109" s="2"/>
      <c r="O109" s="2"/>
      <c r="P109" s="2"/>
      <c r="Q109" s="2"/>
      <c r="R109" s="2"/>
      <c r="S109" s="2"/>
      <c r="T109" s="2"/>
      <c r="U109" s="2"/>
    </row>
    <row r="110" spans="14:21" x14ac:dyDescent="0.25">
      <c r="N110" s="2"/>
      <c r="O110" s="2"/>
      <c r="P110" s="2"/>
      <c r="Q110" s="2"/>
      <c r="R110" s="2"/>
      <c r="S110" s="2"/>
      <c r="T110" s="2"/>
      <c r="U110" s="2"/>
    </row>
    <row r="111" spans="14:21" x14ac:dyDescent="0.25">
      <c r="N111" s="2"/>
      <c r="O111" s="2"/>
      <c r="P111" s="2"/>
      <c r="Q111" s="2"/>
      <c r="R111" s="2"/>
      <c r="S111" s="2"/>
      <c r="T111" s="2"/>
      <c r="U111" s="2"/>
    </row>
    <row r="112" spans="14:21" x14ac:dyDescent="0.25">
      <c r="N112" s="2"/>
      <c r="O112" s="2"/>
      <c r="P112" s="2"/>
      <c r="Q112" s="2"/>
      <c r="R112" s="2"/>
      <c r="S112" s="2"/>
      <c r="T112" s="2"/>
      <c r="U112" s="2"/>
    </row>
    <row r="113" spans="14:21" x14ac:dyDescent="0.25">
      <c r="N113" s="2"/>
      <c r="O113" s="2"/>
      <c r="P113" s="2"/>
      <c r="Q113" s="2"/>
      <c r="R113" s="2"/>
      <c r="S113" s="2"/>
      <c r="T113" s="2"/>
      <c r="U113" s="2"/>
    </row>
    <row r="114" spans="14:21" x14ac:dyDescent="0.25">
      <c r="N114" s="2"/>
      <c r="O114" s="2"/>
      <c r="P114" s="2"/>
      <c r="Q114" s="2"/>
      <c r="R114" s="2"/>
      <c r="S114" s="2"/>
      <c r="T114" s="2"/>
      <c r="U114" s="2"/>
    </row>
    <row r="115" spans="14:21" x14ac:dyDescent="0.25">
      <c r="N115" s="2"/>
      <c r="O115" s="2"/>
      <c r="P115" s="2"/>
      <c r="Q115" s="2"/>
      <c r="R115" s="2"/>
      <c r="S115" s="2"/>
      <c r="T115" s="2"/>
      <c r="U115" s="2"/>
    </row>
  </sheetData>
  <mergeCells count="41">
    <mergeCell ref="A37:C37"/>
    <mergeCell ref="D37:F37"/>
    <mergeCell ref="G37:H37"/>
    <mergeCell ref="I37:L37"/>
    <mergeCell ref="A39:L47"/>
    <mergeCell ref="A35:L35"/>
    <mergeCell ref="A36:C36"/>
    <mergeCell ref="D36:F36"/>
    <mergeCell ref="G36:H36"/>
    <mergeCell ref="I36:L36"/>
    <mergeCell ref="A28:D28"/>
    <mergeCell ref="E28:L28"/>
    <mergeCell ref="A30:L30"/>
    <mergeCell ref="A31:D31"/>
    <mergeCell ref="E31:L33"/>
    <mergeCell ref="A25:D25"/>
    <mergeCell ref="E25:L25"/>
    <mergeCell ref="A26:D26"/>
    <mergeCell ref="E26:L26"/>
    <mergeCell ref="A27:D27"/>
    <mergeCell ref="E27:L27"/>
    <mergeCell ref="A18:L18"/>
    <mergeCell ref="A19:D19"/>
    <mergeCell ref="E19:L22"/>
    <mergeCell ref="A24:L24"/>
    <mergeCell ref="A14:D14"/>
    <mergeCell ref="E14:L14"/>
    <mergeCell ref="A15:D15"/>
    <mergeCell ref="E15:L15"/>
    <mergeCell ref="A16:D16"/>
    <mergeCell ref="E16:L16"/>
    <mergeCell ref="A9:L9"/>
    <mergeCell ref="A10:D10"/>
    <mergeCell ref="E10:L12"/>
    <mergeCell ref="A13:D13"/>
    <mergeCell ref="E13:L13"/>
    <mergeCell ref="C2:H2"/>
    <mergeCell ref="I2:L3"/>
    <mergeCell ref="C3:H3"/>
    <mergeCell ref="A5:L5"/>
    <mergeCell ref="A7:L7"/>
  </mergeCells>
  <hyperlinks>
    <hyperlink ref="N5" location="'Índice'!N7" tooltip="Abrir guía de uso" display="GUÍA DE USO" xr:uid="{A1B8016B-FD82-4DE9-BFE0-9648ED6C9001}"/>
    <hyperlink ref="N6" location="'3. Urbanas'!A1" tooltip="Volver al informe" display="VOLVER AL INFORME" xr:uid="{C95866BA-BABC-49BC-AB2B-36029E66AE23}"/>
  </hyperlinks>
  <printOptions horizontalCentered="1"/>
  <pageMargins left="0.28000000000000003" right="0.28000000000000003" top="0.4" bottom="0.5" header="0.25" footer="0.25"/>
  <pageSetup scale="93" orientation="portrait" r:id="rId1"/>
  <headerFooter>
    <oddFooter>&amp;C&amp;"Arial"&amp;8&amp;K6B7280&amp;P/&amp;F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F6B4E"/>
    <pageSetUpPr fitToPage="1"/>
  </sheetPr>
  <dimension ref="A1:U115"/>
  <sheetViews>
    <sheetView showGridLines="0" zoomScaleNormal="100" workbookViewId="0">
      <selection activeCell="D16" sqref="D16:L16"/>
    </sheetView>
  </sheetViews>
  <sheetFormatPr baseColWidth="10" defaultColWidth="9.140625" defaultRowHeight="15" x14ac:dyDescent="0.25"/>
  <cols>
    <col min="1" max="12" width="9" customWidth="1"/>
    <col min="13" max="13" width="3" customWidth="1"/>
    <col min="14" max="21" width="18" customWidth="1"/>
  </cols>
  <sheetData>
    <row r="1" spans="1:2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N1" s="2"/>
      <c r="O1" s="2"/>
      <c r="P1" s="2"/>
      <c r="Q1" s="2"/>
      <c r="R1" s="2"/>
      <c r="S1" s="2"/>
      <c r="T1" s="2"/>
      <c r="U1" s="2"/>
    </row>
    <row r="2" spans="1:21" ht="18" customHeight="1" x14ac:dyDescent="0.25">
      <c r="A2" s="11"/>
      <c r="B2" s="11"/>
      <c r="C2" s="21"/>
      <c r="D2" s="21"/>
      <c r="E2" s="21"/>
      <c r="F2" s="21"/>
      <c r="G2" s="21"/>
      <c r="H2" s="21"/>
      <c r="I2" s="8" t="str">
        <f>"Opinión de valor comercial"&amp;IF('2. Antecedentes'!$Q$9&lt;&gt;"",CHAR(10)&amp;"Folio "&amp;'2. Antecedentes'!$Q$9,"")</f>
        <v>Opinión de valor comercial</v>
      </c>
      <c r="J2" s="22"/>
      <c r="K2" s="22"/>
      <c r="L2" s="22"/>
      <c r="M2" s="23"/>
      <c r="N2" s="24"/>
      <c r="O2" s="24"/>
      <c r="P2" s="24"/>
      <c r="Q2" s="24"/>
      <c r="R2" s="24"/>
      <c r="S2" s="24"/>
      <c r="T2" s="24"/>
      <c r="U2" s="24"/>
    </row>
    <row r="3" spans="1:21" ht="12" customHeight="1" x14ac:dyDescent="0.25">
      <c r="A3" s="11"/>
      <c r="B3" s="11"/>
      <c r="C3" s="25"/>
      <c r="D3" s="25"/>
      <c r="E3" s="25"/>
      <c r="F3" s="25"/>
      <c r="G3" s="25"/>
      <c r="H3" s="25"/>
      <c r="I3" s="22"/>
      <c r="J3" s="22"/>
      <c r="K3" s="22"/>
      <c r="L3" s="22"/>
      <c r="M3" s="23"/>
      <c r="N3" s="24"/>
      <c r="O3" s="24"/>
      <c r="P3" s="24"/>
      <c r="Q3" s="24"/>
      <c r="R3" s="24"/>
      <c r="S3" s="24"/>
      <c r="T3" s="24"/>
      <c r="U3" s="24"/>
    </row>
    <row r="4" spans="1:21" ht="8.1" customHeight="1" thickBot="1" x14ac:dyDescent="0.3">
      <c r="A4" s="350"/>
      <c r="B4" s="350"/>
      <c r="C4" s="350"/>
      <c r="D4" s="26"/>
      <c r="E4" s="26"/>
      <c r="F4" s="26"/>
      <c r="G4" s="26"/>
      <c r="H4" s="26"/>
      <c r="I4" s="26"/>
      <c r="J4" s="26"/>
      <c r="K4" s="26"/>
      <c r="L4" s="26"/>
      <c r="M4" s="23"/>
      <c r="N4" s="24"/>
      <c r="O4" s="24"/>
      <c r="P4" s="24"/>
      <c r="Q4" s="24"/>
      <c r="R4" s="24"/>
      <c r="S4" s="24"/>
      <c r="T4" s="24"/>
      <c r="U4" s="24"/>
    </row>
    <row r="5" spans="1:21" ht="3" customHeight="1" x14ac:dyDescent="0.2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3"/>
      <c r="N5" s="68"/>
      <c r="O5" s="24"/>
      <c r="P5" s="24"/>
      <c r="Q5" s="24"/>
      <c r="R5" s="24"/>
      <c r="S5" s="24"/>
      <c r="T5" s="24"/>
      <c r="U5" s="24"/>
    </row>
    <row r="6" spans="1:21" ht="6.95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23"/>
      <c r="N6" s="68"/>
      <c r="O6" s="24"/>
      <c r="P6" s="24"/>
      <c r="Q6" s="24"/>
      <c r="R6" s="24"/>
      <c r="S6" s="24"/>
      <c r="T6" s="24"/>
      <c r="U6" s="24"/>
    </row>
    <row r="7" spans="1:21" ht="21.95" customHeight="1" x14ac:dyDescent="0.25">
      <c r="A7" s="28" t="s">
        <v>90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3"/>
      <c r="N7" s="29" t="s">
        <v>321</v>
      </c>
      <c r="O7" s="29"/>
      <c r="P7" s="29"/>
      <c r="Q7" s="29"/>
      <c r="R7" s="29"/>
      <c r="S7" s="29"/>
      <c r="T7" s="29"/>
      <c r="U7" s="29"/>
    </row>
    <row r="8" spans="1:21" ht="6.95" customHeight="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23"/>
      <c r="N8" s="24"/>
      <c r="O8" s="24"/>
      <c r="P8" s="24"/>
      <c r="Q8" s="24"/>
      <c r="R8" s="24"/>
      <c r="S8" s="24"/>
      <c r="T8" s="24"/>
      <c r="U8" s="24"/>
    </row>
    <row r="9" spans="1:21" ht="18" customHeight="1" x14ac:dyDescent="0.25">
      <c r="A9" s="295" t="s">
        <v>91</v>
      </c>
      <c r="B9" s="41"/>
      <c r="C9" s="49"/>
      <c r="D9" s="49"/>
      <c r="E9" s="49"/>
      <c r="F9" s="49"/>
      <c r="G9" s="49"/>
      <c r="H9" s="49"/>
      <c r="I9" s="49"/>
      <c r="J9" s="49"/>
      <c r="K9" s="49"/>
      <c r="L9" s="49"/>
      <c r="M9" s="23"/>
      <c r="N9" s="35" t="s">
        <v>236</v>
      </c>
      <c r="O9" s="35"/>
      <c r="P9" s="35"/>
      <c r="Q9" s="71"/>
      <c r="R9" s="71"/>
      <c r="S9" s="71"/>
      <c r="T9" s="71"/>
      <c r="U9" s="71"/>
    </row>
    <row r="10" spans="1:21" ht="17.100000000000001" customHeight="1" x14ac:dyDescent="0.25">
      <c r="A10" s="296" t="s">
        <v>92</v>
      </c>
      <c r="B10" s="14"/>
      <c r="C10" s="14"/>
      <c r="D10" s="105"/>
      <c r="E10" s="48"/>
      <c r="F10" s="48"/>
      <c r="G10" s="14" t="s">
        <v>93</v>
      </c>
      <c r="H10" s="14"/>
      <c r="I10" s="15"/>
      <c r="J10" s="16"/>
      <c r="K10" s="16"/>
      <c r="L10" s="16"/>
      <c r="M10" s="23"/>
      <c r="N10" s="35" t="s">
        <v>237</v>
      </c>
      <c r="O10" s="35"/>
      <c r="P10" s="35"/>
      <c r="Q10" s="71"/>
      <c r="R10" s="71"/>
      <c r="S10" s="71"/>
      <c r="T10" s="71"/>
      <c r="U10" s="71"/>
    </row>
    <row r="11" spans="1:21" ht="17.100000000000001" customHeight="1" x14ac:dyDescent="0.25">
      <c r="A11" s="14" t="s">
        <v>94</v>
      </c>
      <c r="B11" s="14"/>
      <c r="C11" s="14"/>
      <c r="D11" s="106"/>
      <c r="E11" s="107"/>
      <c r="F11" s="107"/>
      <c r="G11" s="14" t="s">
        <v>95</v>
      </c>
      <c r="H11" s="14"/>
      <c r="I11" s="47"/>
      <c r="J11" s="48"/>
      <c r="K11" s="48"/>
      <c r="L11" s="48"/>
      <c r="M11" s="23"/>
      <c r="N11" s="35" t="s">
        <v>238</v>
      </c>
      <c r="O11" s="35"/>
      <c r="P11" s="35"/>
      <c r="Q11" s="71"/>
      <c r="R11" s="71"/>
      <c r="S11" s="71"/>
      <c r="T11" s="71"/>
      <c r="U11" s="71"/>
    </row>
    <row r="12" spans="1:21" ht="17.100000000000001" customHeight="1" x14ac:dyDescent="0.25">
      <c r="A12" s="14" t="s">
        <v>96</v>
      </c>
      <c r="B12" s="14"/>
      <c r="C12" s="14"/>
      <c r="D12" s="15"/>
      <c r="E12" s="16"/>
      <c r="F12" s="16"/>
      <c r="G12" s="14" t="s">
        <v>97</v>
      </c>
      <c r="H12" s="14"/>
      <c r="I12" s="15"/>
      <c r="J12" s="16"/>
      <c r="K12" s="16"/>
      <c r="L12" s="16"/>
      <c r="M12" s="23"/>
      <c r="N12" s="35" t="s">
        <v>239</v>
      </c>
      <c r="O12" s="35"/>
      <c r="P12" s="35"/>
      <c r="Q12" s="71"/>
      <c r="R12" s="71"/>
      <c r="S12" s="71"/>
      <c r="T12" s="71"/>
      <c r="U12" s="71"/>
    </row>
    <row r="13" spans="1:21" ht="15" customHeight="1" x14ac:dyDescent="0.25">
      <c r="A13" s="97" t="s">
        <v>98</v>
      </c>
      <c r="B13" s="97"/>
      <c r="C13" s="97"/>
      <c r="D13" s="98"/>
      <c r="E13" s="99"/>
      <c r="F13" s="99"/>
      <c r="G13" s="99"/>
      <c r="H13" s="99"/>
      <c r="I13" s="99"/>
      <c r="J13" s="99"/>
      <c r="K13" s="99"/>
      <c r="L13" s="99"/>
      <c r="M13" s="23"/>
      <c r="N13" s="35" t="s">
        <v>240</v>
      </c>
      <c r="O13" s="35"/>
      <c r="P13" s="35"/>
      <c r="Q13" s="108"/>
      <c r="R13" s="108"/>
      <c r="S13" s="108"/>
      <c r="T13" s="108"/>
      <c r="U13" s="108"/>
    </row>
    <row r="14" spans="1:21" ht="15" customHeight="1" x14ac:dyDescent="0.25">
      <c r="A14" s="100"/>
      <c r="B14" s="11"/>
      <c r="C14" s="101"/>
      <c r="D14" s="99"/>
      <c r="E14" s="99"/>
      <c r="F14" s="99"/>
      <c r="G14" s="99"/>
      <c r="H14" s="99"/>
      <c r="I14" s="99"/>
      <c r="J14" s="99"/>
      <c r="K14" s="99"/>
      <c r="L14" s="99"/>
      <c r="M14" s="23"/>
      <c r="N14" s="35" t="s">
        <v>241</v>
      </c>
      <c r="O14" s="35"/>
      <c r="P14" s="35"/>
      <c r="Q14" s="71"/>
      <c r="R14" s="71"/>
      <c r="S14" s="71"/>
      <c r="T14" s="71"/>
      <c r="U14" s="71"/>
    </row>
    <row r="15" spans="1:21" ht="15" customHeight="1" x14ac:dyDescent="0.25">
      <c r="A15" s="102"/>
      <c r="B15" s="103"/>
      <c r="C15" s="104"/>
      <c r="D15" s="99"/>
      <c r="E15" s="99"/>
      <c r="F15" s="99"/>
      <c r="G15" s="99"/>
      <c r="H15" s="99"/>
      <c r="I15" s="99"/>
      <c r="J15" s="99"/>
      <c r="K15" s="99"/>
      <c r="L15" s="99"/>
      <c r="M15" s="23"/>
      <c r="N15" s="24"/>
      <c r="O15" s="24"/>
      <c r="P15" s="24"/>
      <c r="Q15" s="24"/>
      <c r="R15" s="24"/>
      <c r="S15" s="24"/>
      <c r="T15" s="24"/>
      <c r="U15" s="24"/>
    </row>
    <row r="16" spans="1:21" ht="24" customHeight="1" x14ac:dyDescent="0.25">
      <c r="A16" s="14" t="s">
        <v>99</v>
      </c>
      <c r="B16" s="14"/>
      <c r="C16" s="14"/>
      <c r="D16" s="15"/>
      <c r="E16" s="16"/>
      <c r="F16" s="16"/>
      <c r="G16" s="16"/>
      <c r="H16" s="16"/>
      <c r="I16" s="16"/>
      <c r="J16" s="16"/>
      <c r="K16" s="16"/>
      <c r="L16" s="16"/>
      <c r="M16" s="23"/>
      <c r="N16" s="35" t="s">
        <v>242</v>
      </c>
      <c r="O16" s="35"/>
      <c r="P16" s="35"/>
      <c r="Q16" s="108" t="str">
        <f>IF('2. Antecedentes'!Q13="Terreno",IF(ISNUMBER(D10),D10,""),IF('2. Antecedentes'!Q13="Construcción",IF(ISNUMBER(D19),D19,""),IF('2. Antecedentes'!Q13="Privativa",IF(ISNUMBER(Q13),Q13,""),"")))</f>
        <v/>
      </c>
      <c r="R16" s="108"/>
      <c r="S16" s="108"/>
      <c r="T16" s="108"/>
      <c r="U16" s="108"/>
    </row>
    <row r="17" spans="1:21" ht="6.95" customHeight="1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23"/>
      <c r="N17" s="24"/>
      <c r="O17" s="24"/>
      <c r="P17" s="24"/>
      <c r="Q17" s="24"/>
      <c r="R17" s="24"/>
      <c r="S17" s="24"/>
      <c r="T17" s="24"/>
      <c r="U17" s="24"/>
    </row>
    <row r="18" spans="1:21" ht="18" customHeight="1" x14ac:dyDescent="0.25">
      <c r="A18" s="295" t="s">
        <v>100</v>
      </c>
      <c r="B18" s="41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23"/>
      <c r="N18" s="35" t="s">
        <v>243</v>
      </c>
      <c r="O18" s="35"/>
      <c r="P18" s="35"/>
      <c r="Q18" s="71"/>
      <c r="R18" s="71"/>
      <c r="S18" s="71"/>
      <c r="T18" s="71"/>
      <c r="U18" s="71"/>
    </row>
    <row r="19" spans="1:21" ht="17.100000000000001" customHeight="1" x14ac:dyDescent="0.25">
      <c r="A19" s="296" t="s">
        <v>101</v>
      </c>
      <c r="B19" s="14"/>
      <c r="C19" s="14"/>
      <c r="D19" s="105"/>
      <c r="E19" s="48"/>
      <c r="F19" s="48"/>
      <c r="G19" s="14" t="s">
        <v>29</v>
      </c>
      <c r="H19" s="14"/>
      <c r="I19" s="15"/>
      <c r="J19" s="16"/>
      <c r="K19" s="16"/>
      <c r="L19" s="16"/>
      <c r="M19" s="23"/>
      <c r="N19" s="35" t="s">
        <v>244</v>
      </c>
      <c r="O19" s="35"/>
      <c r="P19" s="35"/>
      <c r="Q19" s="71"/>
      <c r="R19" s="71"/>
      <c r="S19" s="71"/>
      <c r="T19" s="71"/>
      <c r="U19" s="71"/>
    </row>
    <row r="20" spans="1:21" ht="17.100000000000001" customHeight="1" x14ac:dyDescent="0.25">
      <c r="A20" s="14" t="s">
        <v>31</v>
      </c>
      <c r="B20" s="14"/>
      <c r="C20" s="14"/>
      <c r="D20" s="15"/>
      <c r="E20" s="16"/>
      <c r="F20" s="16"/>
      <c r="G20" s="14" t="s">
        <v>32</v>
      </c>
      <c r="H20" s="14"/>
      <c r="I20" s="15"/>
      <c r="J20" s="16"/>
      <c r="K20" s="16"/>
      <c r="L20" s="16"/>
      <c r="M20" s="23"/>
      <c r="N20" s="35" t="s">
        <v>245</v>
      </c>
      <c r="O20" s="35"/>
      <c r="P20" s="35"/>
      <c r="Q20" s="71"/>
      <c r="R20" s="71"/>
      <c r="S20" s="71"/>
      <c r="T20" s="71"/>
      <c r="U20" s="71"/>
    </row>
    <row r="21" spans="1:21" ht="17.100000000000001" customHeight="1" x14ac:dyDescent="0.25">
      <c r="A21" s="14" t="s">
        <v>34</v>
      </c>
      <c r="B21" s="14"/>
      <c r="C21" s="14"/>
      <c r="D21" s="15"/>
      <c r="E21" s="16"/>
      <c r="F21" s="16"/>
      <c r="G21" s="14" t="s">
        <v>30</v>
      </c>
      <c r="H21" s="14"/>
      <c r="I21" s="15"/>
      <c r="J21" s="16"/>
      <c r="K21" s="16"/>
      <c r="L21" s="16"/>
      <c r="M21" s="23"/>
      <c r="N21" s="24"/>
      <c r="O21" s="24"/>
      <c r="P21" s="24"/>
      <c r="Q21" s="24"/>
      <c r="R21" s="24"/>
      <c r="S21" s="24"/>
      <c r="T21" s="24"/>
      <c r="U21" s="24"/>
    </row>
    <row r="22" spans="1:21" ht="17.100000000000001" customHeight="1" x14ac:dyDescent="0.25">
      <c r="A22" s="14" t="s">
        <v>33</v>
      </c>
      <c r="B22" s="14"/>
      <c r="C22" s="14"/>
      <c r="D22" s="15"/>
      <c r="E22" s="16"/>
      <c r="F22" s="16"/>
      <c r="G22" s="14" t="s">
        <v>102</v>
      </c>
      <c r="H22" s="14"/>
      <c r="I22" s="15"/>
      <c r="J22" s="16"/>
      <c r="K22" s="16"/>
      <c r="L22" s="16"/>
      <c r="M22" s="23"/>
      <c r="N22" s="35" t="s">
        <v>246</v>
      </c>
      <c r="O22" s="35"/>
      <c r="P22" s="35"/>
      <c r="Q22" s="71"/>
      <c r="R22" s="71"/>
      <c r="S22" s="71"/>
      <c r="T22" s="71"/>
      <c r="U22" s="71"/>
    </row>
    <row r="23" spans="1:21" ht="15" customHeight="1" x14ac:dyDescent="0.25">
      <c r="A23" s="97" t="s">
        <v>103</v>
      </c>
      <c r="B23" s="97"/>
      <c r="C23" s="97"/>
      <c r="D23" s="98"/>
      <c r="E23" s="99"/>
      <c r="F23" s="99"/>
      <c r="G23" s="99"/>
      <c r="H23" s="99"/>
      <c r="I23" s="99"/>
      <c r="J23" s="99"/>
      <c r="K23" s="99"/>
      <c r="L23" s="99"/>
      <c r="M23" s="23"/>
      <c r="N23" s="24"/>
      <c r="O23" s="24"/>
      <c r="P23" s="24"/>
      <c r="Q23" s="24"/>
      <c r="R23" s="24"/>
      <c r="S23" s="24"/>
      <c r="T23" s="24"/>
      <c r="U23" s="24"/>
    </row>
    <row r="24" spans="1:21" ht="15" customHeight="1" x14ac:dyDescent="0.25">
      <c r="A24" s="100"/>
      <c r="B24" s="11"/>
      <c r="C24" s="101"/>
      <c r="D24" s="99"/>
      <c r="E24" s="99"/>
      <c r="F24" s="99"/>
      <c r="G24" s="99"/>
      <c r="H24" s="99"/>
      <c r="I24" s="99"/>
      <c r="J24" s="99"/>
      <c r="K24" s="99"/>
      <c r="L24" s="99"/>
      <c r="M24" s="23"/>
      <c r="N24" s="35" t="s">
        <v>247</v>
      </c>
      <c r="O24" s="35"/>
      <c r="P24" s="35"/>
      <c r="Q24" s="71" t="str">
        <f>IF(OR(NOT(ISNUMBER(Q16)),Q16&lt;=0),"Falta superficie base",IF(AND('2. Antecedentes'!Q13="Terreno",OR(Q9="",Q10="",Q22&lt;&gt;"Revisado")),"Revisar terreno y derechos",IF(AND('2. Antecedentes'!Q13="Construcción",OR(Q11="",Q12="")),"Falta fuente construcción",IF(AND('2. Antecedentes'!Q13="Privativa",Q14=""),"Falta fuente privativa","Bases completas"))))</f>
        <v>Falta superficie base</v>
      </c>
      <c r="R24" s="71"/>
      <c r="S24" s="71"/>
      <c r="T24" s="71"/>
      <c r="U24" s="71"/>
    </row>
    <row r="25" spans="1:21" ht="15" customHeight="1" x14ac:dyDescent="0.25">
      <c r="A25" s="100"/>
      <c r="B25" s="11"/>
      <c r="C25" s="101"/>
      <c r="D25" s="99"/>
      <c r="E25" s="99"/>
      <c r="F25" s="99"/>
      <c r="G25" s="99"/>
      <c r="H25" s="99"/>
      <c r="I25" s="99"/>
      <c r="J25" s="99"/>
      <c r="K25" s="99"/>
      <c r="L25" s="99"/>
      <c r="M25" s="23"/>
      <c r="N25" s="24"/>
      <c r="O25" s="24"/>
      <c r="P25" s="24"/>
      <c r="Q25" s="24"/>
      <c r="R25" s="24"/>
      <c r="S25" s="24"/>
      <c r="T25" s="24"/>
      <c r="U25" s="24"/>
    </row>
    <row r="26" spans="1:21" ht="15" customHeight="1" x14ac:dyDescent="0.25">
      <c r="A26" s="100"/>
      <c r="B26" s="11"/>
      <c r="C26" s="101"/>
      <c r="D26" s="99"/>
      <c r="E26" s="99"/>
      <c r="F26" s="99"/>
      <c r="G26" s="99"/>
      <c r="H26" s="99"/>
      <c r="I26" s="99"/>
      <c r="J26" s="99"/>
      <c r="K26" s="99"/>
      <c r="L26" s="99"/>
      <c r="M26" s="23"/>
      <c r="N26" s="24"/>
      <c r="O26" s="24"/>
      <c r="P26" s="24"/>
      <c r="Q26" s="24"/>
      <c r="R26" s="24"/>
      <c r="S26" s="24"/>
      <c r="T26" s="24"/>
      <c r="U26" s="24"/>
    </row>
    <row r="27" spans="1:21" ht="15" customHeight="1" x14ac:dyDescent="0.25">
      <c r="A27" s="102"/>
      <c r="B27" s="103"/>
      <c r="C27" s="104"/>
      <c r="D27" s="99"/>
      <c r="E27" s="99"/>
      <c r="F27" s="99"/>
      <c r="G27" s="99"/>
      <c r="H27" s="99"/>
      <c r="I27" s="99"/>
      <c r="J27" s="99"/>
      <c r="K27" s="99"/>
      <c r="L27" s="99"/>
      <c r="M27" s="23"/>
      <c r="N27" s="24"/>
      <c r="O27" s="24"/>
      <c r="P27" s="24"/>
      <c r="Q27" s="24"/>
      <c r="R27" s="24"/>
      <c r="S27" s="24"/>
      <c r="T27" s="24"/>
      <c r="U27" s="24"/>
    </row>
    <row r="28" spans="1:21" ht="6.95" customHeight="1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23"/>
      <c r="N28" s="24"/>
      <c r="O28" s="24"/>
      <c r="P28" s="24"/>
      <c r="Q28" s="24"/>
      <c r="R28" s="24"/>
      <c r="S28" s="24"/>
      <c r="T28" s="24"/>
      <c r="U28" s="24"/>
    </row>
    <row r="29" spans="1:21" ht="18" customHeight="1" x14ac:dyDescent="0.25">
      <c r="A29" s="295" t="s">
        <v>104</v>
      </c>
      <c r="B29" s="41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23"/>
      <c r="N29" s="24"/>
      <c r="O29" s="24"/>
      <c r="P29" s="24"/>
      <c r="Q29" s="24"/>
      <c r="R29" s="24"/>
      <c r="S29" s="24"/>
      <c r="T29" s="24"/>
      <c r="U29" s="24"/>
    </row>
    <row r="30" spans="1:21" ht="24" customHeight="1" x14ac:dyDescent="0.25">
      <c r="A30" s="302" t="s">
        <v>105</v>
      </c>
      <c r="B30" s="110"/>
      <c r="C30" s="111" t="s">
        <v>106</v>
      </c>
      <c r="D30" s="109" t="s">
        <v>107</v>
      </c>
      <c r="E30" s="110"/>
      <c r="F30" s="110"/>
      <c r="G30" s="111" t="s">
        <v>248</v>
      </c>
      <c r="H30" s="111" t="s">
        <v>108</v>
      </c>
      <c r="I30" s="111" t="s">
        <v>109</v>
      </c>
      <c r="J30" s="111" t="s">
        <v>110</v>
      </c>
      <c r="K30" s="109" t="s">
        <v>111</v>
      </c>
      <c r="L30" s="110"/>
      <c r="M30" s="23"/>
      <c r="N30" s="24"/>
      <c r="O30" s="24"/>
      <c r="P30" s="24"/>
      <c r="Q30" s="24"/>
      <c r="R30" s="24"/>
      <c r="S30" s="24"/>
      <c r="T30" s="24"/>
      <c r="U30" s="24"/>
    </row>
    <row r="31" spans="1:21" ht="15.95" customHeight="1" x14ac:dyDescent="0.25">
      <c r="A31" s="112"/>
      <c r="B31" s="113"/>
      <c r="C31" s="114"/>
      <c r="D31" s="112"/>
      <c r="E31" s="113"/>
      <c r="F31" s="113"/>
      <c r="G31" s="114"/>
      <c r="H31" s="114"/>
      <c r="I31" s="114"/>
      <c r="J31" s="114"/>
      <c r="K31" s="112"/>
      <c r="L31" s="113"/>
      <c r="M31" s="23"/>
      <c r="N31" s="24"/>
      <c r="O31" s="24"/>
      <c r="P31" s="24"/>
      <c r="Q31" s="24"/>
      <c r="R31" s="24"/>
      <c r="S31" s="24"/>
      <c r="T31" s="24"/>
      <c r="U31" s="24"/>
    </row>
    <row r="32" spans="1:21" ht="15.95" customHeight="1" x14ac:dyDescent="0.25">
      <c r="A32" s="115"/>
      <c r="B32" s="116"/>
      <c r="C32" s="117"/>
      <c r="D32" s="115"/>
      <c r="E32" s="116"/>
      <c r="F32" s="116"/>
      <c r="G32" s="114"/>
      <c r="H32" s="117"/>
      <c r="I32" s="117"/>
      <c r="J32" s="117"/>
      <c r="K32" s="115"/>
      <c r="L32" s="116"/>
      <c r="M32" s="23"/>
      <c r="N32" s="24"/>
      <c r="O32" s="24"/>
      <c r="P32" s="24"/>
      <c r="Q32" s="24"/>
      <c r="R32" s="24"/>
      <c r="S32" s="24"/>
      <c r="T32" s="24"/>
      <c r="U32" s="24"/>
    </row>
    <row r="33" spans="1:21" ht="15.95" customHeight="1" x14ac:dyDescent="0.25">
      <c r="A33" s="112"/>
      <c r="B33" s="113"/>
      <c r="C33" s="114"/>
      <c r="D33" s="112"/>
      <c r="E33" s="113"/>
      <c r="F33" s="113"/>
      <c r="G33" s="114"/>
      <c r="H33" s="114"/>
      <c r="I33" s="114"/>
      <c r="J33" s="114"/>
      <c r="K33" s="112"/>
      <c r="L33" s="113"/>
      <c r="M33" s="23"/>
      <c r="N33" s="24"/>
      <c r="O33" s="24"/>
      <c r="P33" s="24"/>
      <c r="Q33" s="24"/>
      <c r="R33" s="24"/>
      <c r="S33" s="24"/>
      <c r="T33" s="24"/>
      <c r="U33" s="24"/>
    </row>
    <row r="34" spans="1:21" ht="15.95" customHeight="1" x14ac:dyDescent="0.25">
      <c r="A34" s="115"/>
      <c r="B34" s="116"/>
      <c r="C34" s="117"/>
      <c r="D34" s="115"/>
      <c r="E34" s="116"/>
      <c r="F34" s="116"/>
      <c r="G34" s="114"/>
      <c r="H34" s="117"/>
      <c r="I34" s="117"/>
      <c r="J34" s="117"/>
      <c r="K34" s="115"/>
      <c r="L34" s="116"/>
      <c r="M34" s="23"/>
      <c r="N34" s="24"/>
      <c r="O34" s="24"/>
      <c r="P34" s="24"/>
      <c r="Q34" s="24"/>
      <c r="R34" s="24"/>
      <c r="S34" s="24"/>
      <c r="T34" s="24"/>
      <c r="U34" s="24"/>
    </row>
    <row r="35" spans="1:21" ht="6.95" customHeight="1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23"/>
      <c r="N35" s="24"/>
      <c r="O35" s="24"/>
      <c r="P35" s="24"/>
      <c r="Q35" s="24"/>
      <c r="R35" s="24"/>
      <c r="S35" s="24"/>
      <c r="T35" s="24"/>
      <c r="U35" s="24"/>
    </row>
    <row r="36" spans="1:21" ht="18" customHeight="1" x14ac:dyDescent="0.25">
      <c r="A36" s="295" t="s">
        <v>112</v>
      </c>
      <c r="B36" s="41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23"/>
      <c r="N36" s="24"/>
      <c r="O36" s="24"/>
      <c r="P36" s="24"/>
      <c r="Q36" s="24"/>
      <c r="R36" s="24"/>
      <c r="S36" s="24"/>
      <c r="T36" s="24"/>
      <c r="U36" s="24"/>
    </row>
    <row r="37" spans="1:21" ht="15.95" customHeight="1" x14ac:dyDescent="0.25">
      <c r="A37" s="296" t="s">
        <v>113</v>
      </c>
      <c r="B37" s="14"/>
      <c r="C37" s="14"/>
      <c r="D37" s="15"/>
      <c r="E37" s="16"/>
      <c r="F37" s="16"/>
      <c r="G37" s="16"/>
      <c r="H37" s="16"/>
      <c r="I37" s="16"/>
      <c r="J37" s="16"/>
      <c r="K37" s="16"/>
      <c r="L37" s="16"/>
      <c r="M37" s="23"/>
      <c r="N37" s="24"/>
      <c r="O37" s="24"/>
      <c r="P37" s="24"/>
      <c r="Q37" s="24"/>
      <c r="R37" s="24"/>
      <c r="S37" s="24"/>
      <c r="T37" s="24"/>
      <c r="U37" s="24"/>
    </row>
    <row r="38" spans="1:21" ht="15.95" customHeight="1" x14ac:dyDescent="0.25">
      <c r="A38" s="14" t="s">
        <v>114</v>
      </c>
      <c r="B38" s="14"/>
      <c r="C38" s="14"/>
      <c r="D38" s="15"/>
      <c r="E38" s="16"/>
      <c r="F38" s="16"/>
      <c r="G38" s="16"/>
      <c r="H38" s="16"/>
      <c r="I38" s="16"/>
      <c r="J38" s="16"/>
      <c r="K38" s="16"/>
      <c r="L38" s="16"/>
      <c r="M38" s="23"/>
      <c r="N38" s="24"/>
      <c r="O38" s="24"/>
      <c r="P38" s="24"/>
      <c r="Q38" s="24"/>
      <c r="R38" s="24"/>
      <c r="S38" s="24"/>
      <c r="T38" s="24"/>
      <c r="U38" s="24"/>
    </row>
    <row r="39" spans="1:21" ht="15.95" customHeight="1" x14ac:dyDescent="0.25">
      <c r="A39" s="14" t="s">
        <v>115</v>
      </c>
      <c r="B39" s="14"/>
      <c r="C39" s="14"/>
      <c r="D39" s="15"/>
      <c r="E39" s="16"/>
      <c r="F39" s="16"/>
      <c r="G39" s="16"/>
      <c r="H39" s="16"/>
      <c r="I39" s="16"/>
      <c r="J39" s="16"/>
      <c r="K39" s="16"/>
      <c r="L39" s="16"/>
      <c r="M39" s="23"/>
      <c r="N39" s="24"/>
      <c r="O39" s="24"/>
      <c r="P39" s="24"/>
      <c r="Q39" s="24"/>
      <c r="R39" s="24"/>
      <c r="S39" s="24"/>
      <c r="T39" s="24"/>
      <c r="U39" s="24"/>
    </row>
    <row r="40" spans="1:21" ht="15.95" customHeight="1" x14ac:dyDescent="0.25">
      <c r="A40" s="14" t="s">
        <v>116</v>
      </c>
      <c r="B40" s="14"/>
      <c r="C40" s="14"/>
      <c r="D40" s="15"/>
      <c r="E40" s="16"/>
      <c r="F40" s="16"/>
      <c r="G40" s="16"/>
      <c r="H40" s="16"/>
      <c r="I40" s="16"/>
      <c r="J40" s="16"/>
      <c r="K40" s="16"/>
      <c r="L40" s="16"/>
      <c r="M40" s="23"/>
      <c r="N40" s="24"/>
      <c r="O40" s="24"/>
      <c r="P40" s="24"/>
      <c r="Q40" s="24"/>
      <c r="R40" s="24"/>
      <c r="S40" s="24"/>
      <c r="T40" s="24"/>
      <c r="U40" s="24"/>
    </row>
    <row r="41" spans="1:21" ht="15.95" customHeight="1" x14ac:dyDescent="0.25">
      <c r="A41" s="14" t="s">
        <v>117</v>
      </c>
      <c r="B41" s="14"/>
      <c r="C41" s="14"/>
      <c r="D41" s="15"/>
      <c r="E41" s="16"/>
      <c r="F41" s="16"/>
      <c r="G41" s="16"/>
      <c r="H41" s="16"/>
      <c r="I41" s="16"/>
      <c r="J41" s="16"/>
      <c r="K41" s="16"/>
      <c r="L41" s="16"/>
      <c r="M41" s="23"/>
      <c r="N41" s="24"/>
      <c r="O41" s="24"/>
      <c r="P41" s="24"/>
      <c r="Q41" s="24"/>
      <c r="R41" s="24"/>
      <c r="S41" s="24"/>
      <c r="T41" s="24"/>
      <c r="U41" s="24"/>
    </row>
    <row r="42" spans="1:21" ht="15.95" customHeight="1" x14ac:dyDescent="0.25">
      <c r="A42" s="14" t="s">
        <v>118</v>
      </c>
      <c r="B42" s="14"/>
      <c r="C42" s="14"/>
      <c r="D42" s="15"/>
      <c r="E42" s="16"/>
      <c r="F42" s="16"/>
      <c r="G42" s="16"/>
      <c r="H42" s="16"/>
      <c r="I42" s="16"/>
      <c r="J42" s="16"/>
      <c r="K42" s="16"/>
      <c r="L42" s="16"/>
      <c r="M42" s="23"/>
      <c r="N42" s="24"/>
      <c r="O42" s="24"/>
      <c r="P42" s="24"/>
      <c r="Q42" s="24"/>
      <c r="R42" s="24"/>
      <c r="S42" s="24"/>
      <c r="T42" s="24"/>
      <c r="U42" s="24"/>
    </row>
    <row r="43" spans="1:21" ht="15.95" customHeight="1" x14ac:dyDescent="0.25">
      <c r="A43" s="14" t="s">
        <v>119</v>
      </c>
      <c r="B43" s="14"/>
      <c r="C43" s="14"/>
      <c r="D43" s="15"/>
      <c r="E43" s="16"/>
      <c r="F43" s="16"/>
      <c r="G43" s="16"/>
      <c r="H43" s="16"/>
      <c r="I43" s="16"/>
      <c r="J43" s="16"/>
      <c r="K43" s="16"/>
      <c r="L43" s="16"/>
      <c r="M43" s="23"/>
      <c r="N43" s="24"/>
      <c r="O43" s="24"/>
      <c r="P43" s="24"/>
      <c r="Q43" s="24"/>
      <c r="R43" s="24"/>
      <c r="S43" s="24"/>
      <c r="T43" s="24"/>
      <c r="U43" s="24"/>
    </row>
    <row r="44" spans="1:21" ht="15.95" customHeight="1" x14ac:dyDescent="0.25">
      <c r="A44" s="14" t="s">
        <v>120</v>
      </c>
      <c r="B44" s="14"/>
      <c r="C44" s="14"/>
      <c r="D44" s="15"/>
      <c r="E44" s="16"/>
      <c r="F44" s="16"/>
      <c r="G44" s="16"/>
      <c r="H44" s="16"/>
      <c r="I44" s="16"/>
      <c r="J44" s="16"/>
      <c r="K44" s="16"/>
      <c r="L44" s="16"/>
      <c r="M44" s="23"/>
      <c r="N44" s="24"/>
      <c r="O44" s="24"/>
      <c r="P44" s="24"/>
      <c r="Q44" s="24"/>
      <c r="R44" s="24"/>
      <c r="S44" s="24"/>
      <c r="T44" s="24"/>
      <c r="U44" s="24"/>
    </row>
    <row r="45" spans="1:21" ht="15.95" customHeight="1" x14ac:dyDescent="0.25">
      <c r="A45" s="14" t="s">
        <v>121</v>
      </c>
      <c r="B45" s="14"/>
      <c r="C45" s="14"/>
      <c r="D45" s="15"/>
      <c r="E45" s="16"/>
      <c r="F45" s="16"/>
      <c r="G45" s="16"/>
      <c r="H45" s="16"/>
      <c r="I45" s="16"/>
      <c r="J45" s="16"/>
      <c r="K45" s="16"/>
      <c r="L45" s="16"/>
      <c r="M45" s="23"/>
      <c r="N45" s="24"/>
      <c r="O45" s="24"/>
      <c r="P45" s="24"/>
      <c r="Q45" s="24"/>
      <c r="R45" s="24"/>
      <c r="S45" s="24"/>
      <c r="T45" s="24"/>
      <c r="U45" s="24"/>
    </row>
    <row r="46" spans="1:21" ht="15.95" customHeight="1" x14ac:dyDescent="0.25">
      <c r="A46" s="14" t="s">
        <v>122</v>
      </c>
      <c r="B46" s="14"/>
      <c r="C46" s="14"/>
      <c r="D46" s="15"/>
      <c r="E46" s="16"/>
      <c r="F46" s="16"/>
      <c r="G46" s="16"/>
      <c r="H46" s="16"/>
      <c r="I46" s="16"/>
      <c r="J46" s="16"/>
      <c r="K46" s="16"/>
      <c r="L46" s="16"/>
      <c r="M46" s="23"/>
      <c r="N46" s="24"/>
      <c r="O46" s="24"/>
      <c r="P46" s="24"/>
      <c r="Q46" s="24"/>
      <c r="R46" s="24"/>
      <c r="S46" s="24"/>
      <c r="T46" s="24"/>
      <c r="U46" s="24"/>
    </row>
    <row r="47" spans="1:21" ht="15.95" customHeight="1" x14ac:dyDescent="0.25">
      <c r="A47" s="14" t="s">
        <v>123</v>
      </c>
      <c r="B47" s="14"/>
      <c r="C47" s="14"/>
      <c r="D47" s="15"/>
      <c r="E47" s="16"/>
      <c r="F47" s="16"/>
      <c r="G47" s="16"/>
      <c r="H47" s="16"/>
      <c r="I47" s="16"/>
      <c r="J47" s="16"/>
      <c r="K47" s="16"/>
      <c r="L47" s="16"/>
      <c r="M47" s="23"/>
      <c r="N47" s="24"/>
      <c r="O47" s="24"/>
      <c r="P47" s="24"/>
      <c r="Q47" s="24"/>
      <c r="R47" s="24"/>
      <c r="S47" s="24"/>
      <c r="T47" s="24"/>
      <c r="U47" s="24"/>
    </row>
    <row r="48" spans="1:21" ht="6.9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N48" s="2"/>
      <c r="O48" s="2"/>
      <c r="P48" s="2"/>
      <c r="Q48" s="2"/>
      <c r="R48" s="2"/>
      <c r="S48" s="2"/>
      <c r="T48" s="2"/>
      <c r="U48" s="2"/>
    </row>
    <row r="49" spans="1:2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N49" s="2"/>
      <c r="O49" s="2"/>
      <c r="P49" s="2"/>
      <c r="Q49" s="2"/>
      <c r="R49" s="2"/>
      <c r="S49" s="2"/>
      <c r="T49" s="2"/>
      <c r="U49" s="2"/>
    </row>
    <row r="50" spans="1:2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N50" s="2"/>
      <c r="O50" s="2"/>
      <c r="P50" s="2"/>
      <c r="Q50" s="2"/>
      <c r="R50" s="2"/>
      <c r="S50" s="2"/>
      <c r="T50" s="2"/>
      <c r="U50" s="2"/>
    </row>
    <row r="51" spans="1:2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N51" s="2"/>
      <c r="O51" s="2"/>
      <c r="P51" s="2"/>
      <c r="Q51" s="2"/>
      <c r="R51" s="2"/>
      <c r="S51" s="2"/>
      <c r="T51" s="2"/>
      <c r="U51" s="2"/>
    </row>
    <row r="52" spans="1:2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N52" s="2"/>
      <c r="O52" s="2"/>
      <c r="P52" s="2"/>
      <c r="Q52" s="2"/>
      <c r="R52" s="2"/>
      <c r="S52" s="2"/>
      <c r="T52" s="2"/>
      <c r="U52" s="2"/>
    </row>
    <row r="53" spans="1:2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N53" s="2"/>
      <c r="O53" s="2"/>
      <c r="P53" s="2"/>
      <c r="Q53" s="2"/>
      <c r="R53" s="2"/>
      <c r="S53" s="2"/>
      <c r="T53" s="2"/>
      <c r="U53" s="2"/>
    </row>
    <row r="54" spans="1:2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N54" s="2"/>
      <c r="O54" s="2"/>
      <c r="P54" s="2"/>
      <c r="Q54" s="2"/>
      <c r="R54" s="2"/>
      <c r="S54" s="2"/>
      <c r="T54" s="2"/>
      <c r="U54" s="2"/>
    </row>
    <row r="55" spans="1:2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N55" s="2"/>
      <c r="O55" s="2"/>
      <c r="P55" s="2"/>
      <c r="Q55" s="2"/>
      <c r="R55" s="2"/>
      <c r="S55" s="2"/>
      <c r="T55" s="2"/>
      <c r="U55" s="2"/>
    </row>
    <row r="56" spans="1:2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N56" s="2"/>
      <c r="O56" s="2"/>
      <c r="P56" s="2"/>
      <c r="Q56" s="2"/>
      <c r="R56" s="2"/>
      <c r="S56" s="2"/>
      <c r="T56" s="2"/>
      <c r="U56" s="2"/>
    </row>
    <row r="57" spans="1:2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N57" s="2"/>
      <c r="O57" s="2"/>
      <c r="P57" s="2"/>
      <c r="Q57" s="2"/>
      <c r="R57" s="2"/>
      <c r="S57" s="2"/>
      <c r="T57" s="2"/>
      <c r="U57" s="2"/>
    </row>
    <row r="58" spans="1:2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N58" s="2"/>
      <c r="O58" s="2"/>
      <c r="P58" s="2"/>
      <c r="Q58" s="2"/>
      <c r="R58" s="2"/>
      <c r="S58" s="2"/>
      <c r="T58" s="2"/>
      <c r="U58" s="2"/>
    </row>
    <row r="59" spans="1:2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N59" s="2"/>
      <c r="O59" s="2"/>
      <c r="P59" s="2"/>
      <c r="Q59" s="2"/>
      <c r="R59" s="2"/>
      <c r="S59" s="2"/>
      <c r="T59" s="2"/>
      <c r="U59" s="2"/>
    </row>
    <row r="60" spans="1:2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N60" s="2"/>
      <c r="O60" s="2"/>
      <c r="P60" s="2"/>
      <c r="Q60" s="2"/>
      <c r="R60" s="2"/>
      <c r="S60" s="2"/>
      <c r="T60" s="2"/>
      <c r="U60" s="2"/>
    </row>
    <row r="61" spans="1:21" x14ac:dyDescent="0.25">
      <c r="N61" s="2"/>
      <c r="O61" s="2"/>
      <c r="P61" s="2"/>
      <c r="Q61" s="2"/>
      <c r="R61" s="2"/>
      <c r="S61" s="2"/>
      <c r="T61" s="2"/>
      <c r="U61" s="2"/>
    </row>
    <row r="62" spans="1:21" x14ac:dyDescent="0.25">
      <c r="N62" s="2"/>
      <c r="O62" s="2"/>
      <c r="P62" s="2"/>
      <c r="Q62" s="2"/>
      <c r="R62" s="2"/>
      <c r="S62" s="2"/>
      <c r="T62" s="2"/>
      <c r="U62" s="2"/>
    </row>
    <row r="63" spans="1:21" x14ac:dyDescent="0.25">
      <c r="N63" s="2"/>
      <c r="O63" s="2"/>
      <c r="P63" s="2"/>
      <c r="Q63" s="2"/>
      <c r="R63" s="2"/>
      <c r="S63" s="2"/>
      <c r="T63" s="2"/>
      <c r="U63" s="2"/>
    </row>
    <row r="64" spans="1:21" x14ac:dyDescent="0.25">
      <c r="N64" s="2"/>
      <c r="O64" s="2"/>
      <c r="P64" s="2"/>
      <c r="Q64" s="2"/>
      <c r="R64" s="2"/>
      <c r="S64" s="2"/>
      <c r="T64" s="2"/>
      <c r="U64" s="2"/>
    </row>
    <row r="65" spans="14:21" x14ac:dyDescent="0.25">
      <c r="N65" s="2"/>
      <c r="O65" s="2"/>
      <c r="P65" s="2"/>
      <c r="Q65" s="2"/>
      <c r="R65" s="2"/>
      <c r="S65" s="2"/>
      <c r="T65" s="2"/>
      <c r="U65" s="2"/>
    </row>
    <row r="66" spans="14:21" x14ac:dyDescent="0.25">
      <c r="N66" s="2"/>
      <c r="O66" s="2"/>
      <c r="P66" s="2"/>
      <c r="Q66" s="2"/>
      <c r="R66" s="2"/>
      <c r="S66" s="2"/>
      <c r="T66" s="2"/>
      <c r="U66" s="2"/>
    </row>
    <row r="67" spans="14:21" x14ac:dyDescent="0.25">
      <c r="N67" s="2"/>
      <c r="O67" s="2"/>
      <c r="P67" s="2"/>
      <c r="Q67" s="2"/>
      <c r="R67" s="2"/>
      <c r="S67" s="2"/>
      <c r="T67" s="2"/>
      <c r="U67" s="2"/>
    </row>
    <row r="68" spans="14:21" x14ac:dyDescent="0.25">
      <c r="N68" s="2"/>
      <c r="O68" s="2"/>
      <c r="P68" s="2"/>
      <c r="Q68" s="2"/>
      <c r="R68" s="2"/>
      <c r="S68" s="2"/>
      <c r="T68" s="2"/>
      <c r="U68" s="2"/>
    </row>
    <row r="69" spans="14:21" x14ac:dyDescent="0.25">
      <c r="N69" s="2"/>
      <c r="O69" s="2"/>
      <c r="P69" s="2"/>
      <c r="Q69" s="2"/>
      <c r="R69" s="2"/>
      <c r="S69" s="2"/>
      <c r="T69" s="2"/>
      <c r="U69" s="2"/>
    </row>
    <row r="70" spans="14:21" x14ac:dyDescent="0.25">
      <c r="N70" s="2"/>
      <c r="O70" s="2"/>
      <c r="P70" s="2"/>
      <c r="Q70" s="2"/>
      <c r="R70" s="2"/>
      <c r="S70" s="2"/>
      <c r="T70" s="2"/>
      <c r="U70" s="2"/>
    </row>
    <row r="71" spans="14:21" x14ac:dyDescent="0.25">
      <c r="N71" s="2"/>
      <c r="O71" s="2"/>
      <c r="P71" s="2"/>
      <c r="Q71" s="2"/>
      <c r="R71" s="2"/>
      <c r="S71" s="2"/>
      <c r="T71" s="2"/>
      <c r="U71" s="2"/>
    </row>
    <row r="72" spans="14:21" x14ac:dyDescent="0.25">
      <c r="N72" s="2"/>
      <c r="O72" s="2"/>
      <c r="P72" s="2"/>
      <c r="Q72" s="2"/>
      <c r="R72" s="2"/>
      <c r="S72" s="2"/>
      <c r="T72" s="2"/>
      <c r="U72" s="2"/>
    </row>
    <row r="73" spans="14:21" x14ac:dyDescent="0.25">
      <c r="N73" s="2"/>
      <c r="O73" s="2"/>
      <c r="P73" s="2"/>
      <c r="Q73" s="2"/>
      <c r="R73" s="2"/>
      <c r="S73" s="2"/>
      <c r="T73" s="2"/>
      <c r="U73" s="2"/>
    </row>
    <row r="74" spans="14:21" x14ac:dyDescent="0.25">
      <c r="N74" s="2"/>
      <c r="O74" s="2"/>
      <c r="P74" s="2"/>
      <c r="Q74" s="2"/>
      <c r="R74" s="2"/>
      <c r="S74" s="2"/>
      <c r="T74" s="2"/>
      <c r="U74" s="2"/>
    </row>
    <row r="75" spans="14:21" x14ac:dyDescent="0.25">
      <c r="N75" s="2"/>
      <c r="O75" s="2"/>
      <c r="P75" s="2"/>
      <c r="Q75" s="2"/>
      <c r="R75" s="2"/>
      <c r="S75" s="2"/>
      <c r="T75" s="2"/>
      <c r="U75" s="2"/>
    </row>
    <row r="76" spans="14:21" x14ac:dyDescent="0.25">
      <c r="N76" s="2"/>
      <c r="O76" s="2"/>
      <c r="P76" s="2"/>
      <c r="Q76" s="2"/>
      <c r="R76" s="2"/>
      <c r="S76" s="2"/>
      <c r="T76" s="2"/>
      <c r="U76" s="2"/>
    </row>
    <row r="77" spans="14:21" x14ac:dyDescent="0.25">
      <c r="N77" s="2"/>
      <c r="O77" s="2"/>
      <c r="P77" s="2"/>
      <c r="Q77" s="2"/>
      <c r="R77" s="2"/>
      <c r="S77" s="2"/>
      <c r="T77" s="2"/>
      <c r="U77" s="2"/>
    </row>
    <row r="78" spans="14:21" x14ac:dyDescent="0.25">
      <c r="N78" s="2"/>
      <c r="O78" s="2"/>
      <c r="P78" s="2"/>
      <c r="Q78" s="2"/>
      <c r="R78" s="2"/>
      <c r="S78" s="2"/>
      <c r="T78" s="2"/>
      <c r="U78" s="2"/>
    </row>
    <row r="79" spans="14:21" x14ac:dyDescent="0.25">
      <c r="N79" s="2"/>
      <c r="O79" s="2"/>
      <c r="P79" s="2"/>
      <c r="Q79" s="2"/>
      <c r="R79" s="2"/>
      <c r="S79" s="2"/>
      <c r="T79" s="2"/>
      <c r="U79" s="2"/>
    </row>
    <row r="80" spans="14:21" x14ac:dyDescent="0.25">
      <c r="N80" s="2"/>
      <c r="O80" s="2"/>
      <c r="P80" s="2"/>
      <c r="Q80" s="2"/>
      <c r="R80" s="2"/>
      <c r="S80" s="2"/>
      <c r="T80" s="2"/>
      <c r="U80" s="2"/>
    </row>
    <row r="81" spans="14:21" x14ac:dyDescent="0.25">
      <c r="N81" s="2"/>
      <c r="O81" s="2"/>
      <c r="P81" s="2"/>
      <c r="Q81" s="2"/>
      <c r="R81" s="2"/>
      <c r="S81" s="2"/>
      <c r="T81" s="2"/>
      <c r="U81" s="2"/>
    </row>
    <row r="82" spans="14:21" x14ac:dyDescent="0.25">
      <c r="N82" s="2"/>
      <c r="O82" s="2"/>
      <c r="P82" s="2"/>
      <c r="Q82" s="2"/>
      <c r="R82" s="2"/>
      <c r="S82" s="2"/>
      <c r="T82" s="2"/>
      <c r="U82" s="2"/>
    </row>
    <row r="83" spans="14:21" x14ac:dyDescent="0.25">
      <c r="N83" s="2"/>
      <c r="O83" s="2"/>
      <c r="P83" s="2"/>
      <c r="Q83" s="2"/>
      <c r="R83" s="2"/>
      <c r="S83" s="2"/>
      <c r="T83" s="2"/>
      <c r="U83" s="2"/>
    </row>
    <row r="84" spans="14:21" x14ac:dyDescent="0.25">
      <c r="N84" s="2"/>
      <c r="O84" s="2"/>
      <c r="P84" s="2"/>
      <c r="Q84" s="2"/>
      <c r="R84" s="2"/>
      <c r="S84" s="2"/>
      <c r="T84" s="2"/>
      <c r="U84" s="2"/>
    </row>
    <row r="85" spans="14:21" x14ac:dyDescent="0.25">
      <c r="N85" s="2"/>
      <c r="O85" s="2"/>
      <c r="P85" s="2"/>
      <c r="Q85" s="2"/>
      <c r="R85" s="2"/>
      <c r="S85" s="2"/>
      <c r="T85" s="2"/>
      <c r="U85" s="2"/>
    </row>
    <row r="86" spans="14:21" x14ac:dyDescent="0.25">
      <c r="N86" s="2"/>
      <c r="O86" s="2"/>
      <c r="P86" s="2"/>
      <c r="Q86" s="2"/>
      <c r="R86" s="2"/>
      <c r="S86" s="2"/>
      <c r="T86" s="2"/>
      <c r="U86" s="2"/>
    </row>
    <row r="87" spans="14:21" x14ac:dyDescent="0.25">
      <c r="N87" s="2"/>
      <c r="O87" s="2"/>
      <c r="P87" s="2"/>
      <c r="Q87" s="2"/>
      <c r="R87" s="2"/>
      <c r="S87" s="2"/>
      <c r="T87" s="2"/>
      <c r="U87" s="2"/>
    </row>
    <row r="88" spans="14:21" x14ac:dyDescent="0.25">
      <c r="N88" s="2"/>
      <c r="O88" s="2"/>
      <c r="P88" s="2"/>
      <c r="Q88" s="2"/>
      <c r="R88" s="2"/>
      <c r="S88" s="2"/>
      <c r="T88" s="2"/>
      <c r="U88" s="2"/>
    </row>
    <row r="89" spans="14:21" x14ac:dyDescent="0.25">
      <c r="N89" s="2"/>
      <c r="O89" s="2"/>
      <c r="P89" s="2"/>
      <c r="Q89" s="2"/>
      <c r="R89" s="2"/>
      <c r="S89" s="2"/>
      <c r="T89" s="2"/>
      <c r="U89" s="2"/>
    </row>
    <row r="90" spans="14:21" x14ac:dyDescent="0.25">
      <c r="N90" s="2"/>
      <c r="O90" s="2"/>
      <c r="P90" s="2"/>
      <c r="Q90" s="2"/>
      <c r="R90" s="2"/>
      <c r="S90" s="2"/>
      <c r="T90" s="2"/>
      <c r="U90" s="2"/>
    </row>
    <row r="91" spans="14:21" x14ac:dyDescent="0.25">
      <c r="N91" s="2"/>
      <c r="O91" s="2"/>
      <c r="P91" s="2"/>
      <c r="Q91" s="2"/>
      <c r="R91" s="2"/>
      <c r="S91" s="2"/>
      <c r="T91" s="2"/>
      <c r="U91" s="2"/>
    </row>
    <row r="92" spans="14:21" x14ac:dyDescent="0.25">
      <c r="N92" s="2"/>
      <c r="O92" s="2"/>
      <c r="P92" s="2"/>
      <c r="Q92" s="2"/>
      <c r="R92" s="2"/>
      <c r="S92" s="2"/>
      <c r="T92" s="2"/>
      <c r="U92" s="2"/>
    </row>
    <row r="93" spans="14:21" x14ac:dyDescent="0.25">
      <c r="N93" s="2"/>
      <c r="O93" s="2"/>
      <c r="P93" s="2"/>
      <c r="Q93" s="2"/>
      <c r="R93" s="2"/>
      <c r="S93" s="2"/>
      <c r="T93" s="2"/>
      <c r="U93" s="2"/>
    </row>
    <row r="94" spans="14:21" x14ac:dyDescent="0.25">
      <c r="N94" s="2"/>
      <c r="O94" s="2"/>
      <c r="P94" s="2"/>
      <c r="Q94" s="2"/>
      <c r="R94" s="2"/>
      <c r="S94" s="2"/>
      <c r="T94" s="2"/>
      <c r="U94" s="2"/>
    </row>
    <row r="95" spans="14:21" x14ac:dyDescent="0.25">
      <c r="N95" s="2"/>
      <c r="O95" s="2"/>
      <c r="P95" s="2"/>
      <c r="Q95" s="2"/>
      <c r="R95" s="2"/>
      <c r="S95" s="2"/>
      <c r="T95" s="2"/>
      <c r="U95" s="2"/>
    </row>
    <row r="96" spans="14:21" x14ac:dyDescent="0.25">
      <c r="N96" s="2"/>
      <c r="O96" s="2"/>
      <c r="P96" s="2"/>
      <c r="Q96" s="2"/>
      <c r="R96" s="2"/>
      <c r="S96" s="2"/>
      <c r="T96" s="2"/>
      <c r="U96" s="2"/>
    </row>
    <row r="97" spans="14:21" x14ac:dyDescent="0.25">
      <c r="N97" s="2"/>
      <c r="O97" s="2"/>
      <c r="P97" s="2"/>
      <c r="Q97" s="2"/>
      <c r="R97" s="2"/>
      <c r="S97" s="2"/>
      <c r="T97" s="2"/>
      <c r="U97" s="2"/>
    </row>
    <row r="98" spans="14:21" x14ac:dyDescent="0.25">
      <c r="N98" s="2"/>
      <c r="O98" s="2"/>
      <c r="P98" s="2"/>
      <c r="Q98" s="2"/>
      <c r="R98" s="2"/>
      <c r="S98" s="2"/>
      <c r="T98" s="2"/>
      <c r="U98" s="2"/>
    </row>
    <row r="99" spans="14:21" x14ac:dyDescent="0.25">
      <c r="N99" s="2"/>
      <c r="O99" s="2"/>
      <c r="P99" s="2"/>
      <c r="Q99" s="2"/>
      <c r="R99" s="2"/>
      <c r="S99" s="2"/>
      <c r="T99" s="2"/>
      <c r="U99" s="2"/>
    </row>
    <row r="100" spans="14:21" x14ac:dyDescent="0.25">
      <c r="N100" s="2"/>
      <c r="O100" s="2"/>
      <c r="P100" s="2"/>
      <c r="Q100" s="2"/>
      <c r="R100" s="2"/>
      <c r="S100" s="2"/>
      <c r="T100" s="2"/>
      <c r="U100" s="2"/>
    </row>
    <row r="101" spans="14:21" x14ac:dyDescent="0.25">
      <c r="N101" s="2"/>
      <c r="O101" s="2"/>
      <c r="P101" s="2"/>
      <c r="Q101" s="2"/>
      <c r="R101" s="2"/>
      <c r="S101" s="2"/>
      <c r="T101" s="2"/>
      <c r="U101" s="2"/>
    </row>
    <row r="102" spans="14:21" x14ac:dyDescent="0.25">
      <c r="N102" s="2"/>
      <c r="O102" s="2"/>
      <c r="P102" s="2"/>
      <c r="Q102" s="2"/>
      <c r="R102" s="2"/>
      <c r="S102" s="2"/>
      <c r="T102" s="2"/>
      <c r="U102" s="2"/>
    </row>
    <row r="103" spans="14:21" x14ac:dyDescent="0.25">
      <c r="N103" s="2"/>
      <c r="O103" s="2"/>
      <c r="P103" s="2"/>
      <c r="Q103" s="2"/>
      <c r="R103" s="2"/>
      <c r="S103" s="2"/>
      <c r="T103" s="2"/>
      <c r="U103" s="2"/>
    </row>
    <row r="104" spans="14:21" x14ac:dyDescent="0.25">
      <c r="N104" s="2"/>
      <c r="O104" s="2"/>
      <c r="P104" s="2"/>
      <c r="Q104" s="2"/>
      <c r="R104" s="2"/>
      <c r="S104" s="2"/>
      <c r="T104" s="2"/>
      <c r="U104" s="2"/>
    </row>
    <row r="105" spans="14:21" x14ac:dyDescent="0.25">
      <c r="N105" s="2"/>
      <c r="O105" s="2"/>
      <c r="P105" s="2"/>
      <c r="Q105" s="2"/>
      <c r="R105" s="2"/>
      <c r="S105" s="2"/>
      <c r="T105" s="2"/>
      <c r="U105" s="2"/>
    </row>
    <row r="106" spans="14:21" x14ac:dyDescent="0.25">
      <c r="N106" s="2"/>
      <c r="O106" s="2"/>
      <c r="P106" s="2"/>
      <c r="Q106" s="2"/>
      <c r="R106" s="2"/>
      <c r="S106" s="2"/>
      <c r="T106" s="2"/>
      <c r="U106" s="2"/>
    </row>
    <row r="107" spans="14:21" x14ac:dyDescent="0.25">
      <c r="N107" s="2"/>
      <c r="O107" s="2"/>
      <c r="P107" s="2"/>
      <c r="Q107" s="2"/>
      <c r="R107" s="2"/>
      <c r="S107" s="2"/>
      <c r="T107" s="2"/>
      <c r="U107" s="2"/>
    </row>
    <row r="108" spans="14:21" x14ac:dyDescent="0.25">
      <c r="N108" s="2"/>
      <c r="O108" s="2"/>
      <c r="P108" s="2"/>
      <c r="Q108" s="2"/>
      <c r="R108" s="2"/>
      <c r="S108" s="2"/>
      <c r="T108" s="2"/>
      <c r="U108" s="2"/>
    </row>
    <row r="109" spans="14:21" x14ac:dyDescent="0.25">
      <c r="N109" s="2"/>
      <c r="O109" s="2"/>
      <c r="P109" s="2"/>
      <c r="Q109" s="2"/>
      <c r="R109" s="2"/>
      <c r="S109" s="2"/>
      <c r="T109" s="2"/>
      <c r="U109" s="2"/>
    </row>
    <row r="110" spans="14:21" x14ac:dyDescent="0.25">
      <c r="N110" s="2"/>
      <c r="O110" s="2"/>
      <c r="P110" s="2"/>
      <c r="Q110" s="2"/>
      <c r="R110" s="2"/>
      <c r="S110" s="2"/>
      <c r="T110" s="2"/>
      <c r="U110" s="2"/>
    </row>
    <row r="111" spans="14:21" x14ac:dyDescent="0.25">
      <c r="N111" s="2"/>
      <c r="O111" s="2"/>
      <c r="P111" s="2"/>
      <c r="Q111" s="2"/>
      <c r="R111" s="2"/>
      <c r="S111" s="2"/>
      <c r="T111" s="2"/>
      <c r="U111" s="2"/>
    </row>
    <row r="112" spans="14:21" x14ac:dyDescent="0.25">
      <c r="N112" s="2"/>
      <c r="O112" s="2"/>
      <c r="P112" s="2"/>
      <c r="Q112" s="2"/>
      <c r="R112" s="2"/>
      <c r="S112" s="2"/>
      <c r="T112" s="2"/>
      <c r="U112" s="2"/>
    </row>
    <row r="113" spans="14:21" x14ac:dyDescent="0.25">
      <c r="N113" s="2"/>
      <c r="O113" s="2"/>
      <c r="P113" s="2"/>
      <c r="Q113" s="2"/>
      <c r="R113" s="2"/>
      <c r="S113" s="2"/>
      <c r="T113" s="2"/>
      <c r="U113" s="2"/>
    </row>
    <row r="114" spans="14:21" x14ac:dyDescent="0.25">
      <c r="N114" s="2"/>
      <c r="O114" s="2"/>
      <c r="P114" s="2"/>
      <c r="Q114" s="2"/>
      <c r="R114" s="2"/>
      <c r="S114" s="2"/>
      <c r="T114" s="2"/>
      <c r="U114" s="2"/>
    </row>
    <row r="115" spans="14:21" x14ac:dyDescent="0.25">
      <c r="N115" s="2"/>
      <c r="O115" s="2"/>
      <c r="P115" s="2"/>
      <c r="Q115" s="2"/>
      <c r="R115" s="2"/>
      <c r="S115" s="2"/>
      <c r="T115" s="2"/>
      <c r="U115" s="2"/>
    </row>
  </sheetData>
  <mergeCells count="105">
    <mergeCell ref="A43:C43"/>
    <mergeCell ref="D43:L43"/>
    <mergeCell ref="A44:C44"/>
    <mergeCell ref="D44:L44"/>
    <mergeCell ref="A45:C45"/>
    <mergeCell ref="D45:L45"/>
    <mergeCell ref="A46:C46"/>
    <mergeCell ref="D46:L46"/>
    <mergeCell ref="A47:C47"/>
    <mergeCell ref="D47:L47"/>
    <mergeCell ref="A38:C38"/>
    <mergeCell ref="D38:L38"/>
    <mergeCell ref="A39:C39"/>
    <mergeCell ref="D39:L39"/>
    <mergeCell ref="A40:C40"/>
    <mergeCell ref="D40:L40"/>
    <mergeCell ref="A41:C41"/>
    <mergeCell ref="D41:L41"/>
    <mergeCell ref="A42:C42"/>
    <mergeCell ref="D42:L42"/>
    <mergeCell ref="A33:B33"/>
    <mergeCell ref="D33:F33"/>
    <mergeCell ref="K33:L33"/>
    <mergeCell ref="A34:B34"/>
    <mergeCell ref="D34:F34"/>
    <mergeCell ref="K34:L34"/>
    <mergeCell ref="A36:L36"/>
    <mergeCell ref="A37:C37"/>
    <mergeCell ref="D37:L37"/>
    <mergeCell ref="A29:L29"/>
    <mergeCell ref="A30:B30"/>
    <mergeCell ref="D30:F30"/>
    <mergeCell ref="K30:L30"/>
    <mergeCell ref="A31:B31"/>
    <mergeCell ref="D31:F31"/>
    <mergeCell ref="K31:L31"/>
    <mergeCell ref="A32:B32"/>
    <mergeCell ref="D32:F32"/>
    <mergeCell ref="K32:L32"/>
    <mergeCell ref="A21:C21"/>
    <mergeCell ref="D21:F21"/>
    <mergeCell ref="G21:H21"/>
    <mergeCell ref="I21:L21"/>
    <mergeCell ref="A22:C22"/>
    <mergeCell ref="D22:F22"/>
    <mergeCell ref="G22:H22"/>
    <mergeCell ref="I22:L22"/>
    <mergeCell ref="A23:C23"/>
    <mergeCell ref="D23:L27"/>
    <mergeCell ref="A16:C16"/>
    <mergeCell ref="D16:L16"/>
    <mergeCell ref="A18:L18"/>
    <mergeCell ref="A19:C19"/>
    <mergeCell ref="D19:F19"/>
    <mergeCell ref="G19:H19"/>
    <mergeCell ref="I19:L19"/>
    <mergeCell ref="A20:C20"/>
    <mergeCell ref="D20:F20"/>
    <mergeCell ref="G20:H20"/>
    <mergeCell ref="I20:L20"/>
    <mergeCell ref="A11:C11"/>
    <mergeCell ref="D11:F11"/>
    <mergeCell ref="G11:H11"/>
    <mergeCell ref="I11:L11"/>
    <mergeCell ref="A12:C12"/>
    <mergeCell ref="D12:F12"/>
    <mergeCell ref="G12:H12"/>
    <mergeCell ref="I12:L12"/>
    <mergeCell ref="A13:C13"/>
    <mergeCell ref="D13:L15"/>
    <mergeCell ref="C2:H2"/>
    <mergeCell ref="I2:L3"/>
    <mergeCell ref="C3:H3"/>
    <mergeCell ref="A5:L5"/>
    <mergeCell ref="A7:L7"/>
    <mergeCell ref="A9:L9"/>
    <mergeCell ref="A10:C10"/>
    <mergeCell ref="D10:F10"/>
    <mergeCell ref="G10:H10"/>
    <mergeCell ref="I10:L10"/>
    <mergeCell ref="N11:P11"/>
    <mergeCell ref="Q11:U11"/>
    <mergeCell ref="N12:P12"/>
    <mergeCell ref="Q12:U12"/>
    <mergeCell ref="N13:P13"/>
    <mergeCell ref="Q13:U13"/>
    <mergeCell ref="N7:U7"/>
    <mergeCell ref="N9:P9"/>
    <mergeCell ref="Q9:U9"/>
    <mergeCell ref="N10:P10"/>
    <mergeCell ref="Q10:U10"/>
    <mergeCell ref="N24:P24"/>
    <mergeCell ref="Q24:U24"/>
    <mergeCell ref="N19:P19"/>
    <mergeCell ref="Q19:U19"/>
    <mergeCell ref="N20:P20"/>
    <mergeCell ref="Q20:U20"/>
    <mergeCell ref="N22:P22"/>
    <mergeCell ref="Q22:U22"/>
    <mergeCell ref="N14:P14"/>
    <mergeCell ref="Q14:U14"/>
    <mergeCell ref="N16:P16"/>
    <mergeCell ref="Q16:U16"/>
    <mergeCell ref="N18:P18"/>
    <mergeCell ref="Q18:U18"/>
  </mergeCells>
  <conditionalFormatting sqref="Q24">
    <cfRule type="expression" dxfId="19" priority="1">
      <formula>AND(Q24&lt;&gt;"",Q24&lt;&gt;"Incluido",Q24&lt;&gt;"Revisada",Q24&lt;&gt;"Bases completas",Q24&lt;&gt;"Excluido")</formula>
    </cfRule>
  </conditionalFormatting>
  <dataValidations count="3">
    <dataValidation type="list" sqref="Q9 Q11" xr:uid="{00000000-0002-0000-0500-000000000000}">
      <formula1>"Documentado,Observado,Declarado"</formula1>
    </dataValidation>
    <dataValidation type="list" sqref="Q22" xr:uid="{00000000-0002-0000-0500-000002000000}">
      <formula1>"Pendiente,Revisado"</formula1>
    </dataValidation>
    <dataValidation type="whole" sqref="G31:G34" xr:uid="{00000000-0002-0000-0500-000003000000}">
      <formula1>1</formula1>
      <formula2>6</formula2>
    </dataValidation>
  </dataValidations>
  <hyperlinks>
    <hyperlink ref="N5" location="'Índice'!N7" tooltip="Abrir guía de uso" display="GUÍA DE USO" xr:uid="{E4E082AA-3913-4DC4-9BCE-98B81EFE5CBF}"/>
    <hyperlink ref="N6" location="'4. Inmueble'!A1" tooltip="Volver al informe" display="VOLVER AL INFORME" xr:uid="{05FA84F2-16E8-48B4-9BF8-D70A5FBF0E52}"/>
  </hyperlinks>
  <printOptions horizontalCentered="1"/>
  <pageMargins left="0.28000000000000003" right="0.28000000000000003" top="0.4" bottom="0.5" header="0.25" footer="0.25"/>
  <pageSetup scale="93" orientation="portrait" r:id="rId1"/>
  <headerFooter>
    <oddFooter>&amp;C&amp;"Arial"&amp;8&amp;K6B7280&amp;P/&amp;F</oddFooter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F6B4E"/>
    <pageSetUpPr fitToPage="1"/>
  </sheetPr>
  <dimension ref="A1:U115"/>
  <sheetViews>
    <sheetView showGridLines="0" topLeftCell="A11" zoomScaleNormal="100" workbookViewId="0"/>
  </sheetViews>
  <sheetFormatPr baseColWidth="10" defaultColWidth="9.140625" defaultRowHeight="15" x14ac:dyDescent="0.25"/>
  <cols>
    <col min="1" max="12" width="9" customWidth="1"/>
    <col min="13" max="13" width="3" customWidth="1"/>
    <col min="14" max="21" width="18" customWidth="1"/>
  </cols>
  <sheetData>
    <row r="1" spans="1:2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N1" s="2"/>
      <c r="O1" s="2"/>
      <c r="P1" s="2"/>
      <c r="Q1" s="2"/>
      <c r="R1" s="2"/>
      <c r="S1" s="2"/>
      <c r="T1" s="2"/>
      <c r="U1" s="2"/>
    </row>
    <row r="2" spans="1:21" ht="18" customHeight="1" x14ac:dyDescent="0.25">
      <c r="A2" s="11"/>
      <c r="B2" s="11"/>
      <c r="C2" s="21"/>
      <c r="D2" s="21"/>
      <c r="E2" s="21"/>
      <c r="F2" s="21"/>
      <c r="G2" s="21"/>
      <c r="H2" s="21"/>
      <c r="I2" s="8" t="str">
        <f>"Opinión de valor comercial"&amp;IF('2. Antecedentes'!$Q$9&lt;&gt;"",CHAR(10)&amp;"Folio "&amp;'2. Antecedentes'!$Q$9,"")</f>
        <v>Opinión de valor comercial</v>
      </c>
      <c r="J2" s="22"/>
      <c r="K2" s="22"/>
      <c r="L2" s="22"/>
      <c r="M2" s="23"/>
      <c r="N2" s="24"/>
      <c r="O2" s="24"/>
      <c r="P2" s="24"/>
      <c r="Q2" s="24"/>
      <c r="R2" s="24"/>
      <c r="S2" s="24"/>
      <c r="T2" s="24"/>
      <c r="U2" s="24"/>
    </row>
    <row r="3" spans="1:21" ht="12" customHeight="1" x14ac:dyDescent="0.25">
      <c r="A3" s="11"/>
      <c r="B3" s="11"/>
      <c r="C3" s="25"/>
      <c r="D3" s="25"/>
      <c r="E3" s="25"/>
      <c r="F3" s="25"/>
      <c r="G3" s="25"/>
      <c r="H3" s="25"/>
      <c r="I3" s="22"/>
      <c r="J3" s="22"/>
      <c r="K3" s="22"/>
      <c r="L3" s="22"/>
      <c r="M3" s="23"/>
      <c r="N3" s="24"/>
      <c r="O3" s="24"/>
      <c r="P3" s="24"/>
      <c r="Q3" s="24"/>
      <c r="R3" s="24"/>
      <c r="S3" s="24"/>
      <c r="T3" s="24"/>
      <c r="U3" s="24"/>
    </row>
    <row r="4" spans="1:21" ht="8.1" customHeight="1" thickBot="1" x14ac:dyDescent="0.3">
      <c r="A4" s="350"/>
      <c r="B4" s="350"/>
      <c r="C4" s="350"/>
      <c r="D4" s="26"/>
      <c r="E4" s="26"/>
      <c r="F4" s="26"/>
      <c r="G4" s="26"/>
      <c r="H4" s="26"/>
      <c r="I4" s="26"/>
      <c r="J4" s="26"/>
      <c r="K4" s="26"/>
      <c r="L4" s="26"/>
      <c r="M4" s="23"/>
      <c r="N4" s="24"/>
      <c r="O4" s="24"/>
      <c r="P4" s="24"/>
      <c r="Q4" s="24"/>
      <c r="R4" s="24"/>
      <c r="S4" s="24"/>
      <c r="T4" s="24"/>
      <c r="U4" s="24"/>
    </row>
    <row r="5" spans="1:21" ht="3" customHeight="1" x14ac:dyDescent="0.2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3"/>
      <c r="N5" s="68"/>
      <c r="O5" s="24"/>
      <c r="P5" s="24"/>
      <c r="Q5" s="24"/>
      <c r="R5" s="24"/>
      <c r="S5" s="24"/>
      <c r="T5" s="24"/>
      <c r="U5" s="24"/>
    </row>
    <row r="6" spans="1:21" ht="6.95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23"/>
      <c r="N6" s="68"/>
      <c r="O6" s="24"/>
      <c r="P6" s="24"/>
      <c r="Q6" s="24"/>
      <c r="R6" s="24"/>
      <c r="S6" s="24"/>
      <c r="T6" s="24"/>
      <c r="U6" s="24"/>
    </row>
    <row r="7" spans="1:21" ht="21.95" customHeight="1" x14ac:dyDescent="0.25">
      <c r="A7" s="28" t="s">
        <v>322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3"/>
      <c r="N7" s="29" t="s">
        <v>324</v>
      </c>
      <c r="O7" s="29"/>
      <c r="P7" s="29"/>
      <c r="Q7" s="29"/>
      <c r="R7" s="29"/>
      <c r="S7" s="29"/>
      <c r="T7" s="29"/>
      <c r="U7" s="29"/>
    </row>
    <row r="8" spans="1:21" ht="14.1" customHeight="1" x14ac:dyDescent="0.25">
      <c r="A8" s="118" t="s">
        <v>124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23"/>
      <c r="N8" s="35" t="s">
        <v>249</v>
      </c>
      <c r="O8" s="35"/>
      <c r="P8" s="35"/>
      <c r="Q8" s="71"/>
      <c r="R8" s="71"/>
      <c r="S8" s="71"/>
      <c r="T8" s="71"/>
      <c r="U8" s="71"/>
    </row>
    <row r="9" spans="1:21" ht="18" customHeight="1" x14ac:dyDescent="0.25">
      <c r="A9" s="295" t="s">
        <v>125</v>
      </c>
      <c r="B9" s="41"/>
      <c r="C9" s="49"/>
      <c r="D9" s="49"/>
      <c r="E9" s="49"/>
      <c r="F9" s="49"/>
      <c r="G9" s="49"/>
      <c r="H9" s="49"/>
      <c r="I9" s="49"/>
      <c r="J9" s="49"/>
      <c r="K9" s="49"/>
      <c r="L9" s="49"/>
      <c r="M9" s="23"/>
      <c r="N9" s="24"/>
      <c r="O9" s="24"/>
      <c r="P9" s="24"/>
      <c r="Q9" s="24"/>
      <c r="R9" s="24"/>
      <c r="S9" s="24"/>
      <c r="T9" s="24"/>
      <c r="U9" s="24"/>
    </row>
    <row r="10" spans="1:21" ht="33.950000000000003" customHeight="1" x14ac:dyDescent="0.25">
      <c r="A10" s="303" t="s">
        <v>126</v>
      </c>
      <c r="B10" s="109" t="s">
        <v>127</v>
      </c>
      <c r="C10" s="110"/>
      <c r="D10" s="111" t="s">
        <v>250</v>
      </c>
      <c r="E10" s="111" t="s">
        <v>251</v>
      </c>
      <c r="F10" s="111" t="s">
        <v>128</v>
      </c>
      <c r="G10" s="111" t="s">
        <v>129</v>
      </c>
      <c r="H10" s="111" t="s">
        <v>130</v>
      </c>
      <c r="I10" s="111" t="s">
        <v>131</v>
      </c>
      <c r="J10" s="111" t="s">
        <v>132</v>
      </c>
      <c r="K10" s="111" t="s">
        <v>133</v>
      </c>
      <c r="L10" s="111" t="s">
        <v>134</v>
      </c>
      <c r="M10" s="23"/>
      <c r="N10" s="29" t="s">
        <v>325</v>
      </c>
      <c r="O10" s="29"/>
      <c r="P10" s="29"/>
      <c r="Q10" s="29"/>
      <c r="R10" s="29"/>
      <c r="S10" s="29"/>
      <c r="T10" s="29"/>
      <c r="U10" s="29"/>
    </row>
    <row r="11" spans="1:21" ht="24.95" customHeight="1" x14ac:dyDescent="0.25">
      <c r="A11" s="119">
        <v>1</v>
      </c>
      <c r="B11" s="120"/>
      <c r="C11" s="120"/>
      <c r="D11" s="121"/>
      <c r="E11" s="122" t="str">
        <f>IF(AND(ISNUMBER(Q18),Q18&gt;0),Q18*IF(Q17="USD",'2. Antecedentes'!$Q$16,1),"")</f>
        <v/>
      </c>
      <c r="F11" s="123" t="str">
        <f>IF(ISNUMBER(E11),E11/D11,"")</f>
        <v/>
      </c>
      <c r="G11" s="124"/>
      <c r="H11" s="124"/>
      <c r="I11" s="124"/>
      <c r="J11" s="124"/>
      <c r="K11" s="125" t="str">
        <f>IF(ISNUMBER(E11),PRODUCT(G11:J11),"")</f>
        <v/>
      </c>
      <c r="L11" s="126" t="str">
        <f>IF(AND(ISNUMBER(F11),ISNUMBER(K11)),F11*K11,"")</f>
        <v/>
      </c>
      <c r="M11" s="23"/>
      <c r="N11" s="35" t="s">
        <v>252</v>
      </c>
      <c r="O11" s="35"/>
      <c r="P11" s="35"/>
      <c r="Q11" s="71" t="s">
        <v>228</v>
      </c>
      <c r="R11" s="71"/>
      <c r="S11" s="71"/>
      <c r="T11" s="71"/>
      <c r="U11" s="71"/>
    </row>
    <row r="12" spans="1:21" ht="24.95" customHeight="1" x14ac:dyDescent="0.25">
      <c r="A12" s="127">
        <v>2</v>
      </c>
      <c r="B12" s="120"/>
      <c r="C12" s="120"/>
      <c r="D12" s="121"/>
      <c r="E12" s="122" t="str">
        <f>IF(AND(ISNUMBER(Q37),Q37&gt;0),Q37*IF(Q36="USD",'2. Antecedentes'!$Q$16,1),"")</f>
        <v/>
      </c>
      <c r="F12" s="128" t="str">
        <f>IF(ISNUMBER(E12),E12/D12,"")</f>
        <v/>
      </c>
      <c r="G12" s="124"/>
      <c r="H12" s="124"/>
      <c r="I12" s="124"/>
      <c r="J12" s="124"/>
      <c r="K12" s="129" t="str">
        <f>IF(ISNUMBER(E12),PRODUCT(G12:J12),"")</f>
        <v/>
      </c>
      <c r="L12" s="130" t="str">
        <f>IF(AND(ISNUMBER(F12),ISNUMBER(K12)),F12*K12,"")</f>
        <v/>
      </c>
      <c r="M12" s="23"/>
      <c r="N12" s="35" t="s">
        <v>253</v>
      </c>
      <c r="O12" s="35"/>
      <c r="P12" s="35"/>
      <c r="Q12" s="71"/>
      <c r="R12" s="71"/>
      <c r="S12" s="71"/>
      <c r="T12" s="71"/>
      <c r="U12" s="71"/>
    </row>
    <row r="13" spans="1:21" ht="24.95" customHeight="1" x14ac:dyDescent="0.25">
      <c r="A13" s="119">
        <v>3</v>
      </c>
      <c r="B13" s="120"/>
      <c r="C13" s="120"/>
      <c r="D13" s="121"/>
      <c r="E13" s="122" t="str">
        <f>IF(AND(ISNUMBER(Q56),Q56&gt;0),Q56*IF(Q55="USD",'2. Antecedentes'!$Q$16,1),"")</f>
        <v/>
      </c>
      <c r="F13" s="123" t="str">
        <f>IF(ISNUMBER(E13),E13/D13,"")</f>
        <v/>
      </c>
      <c r="G13" s="124"/>
      <c r="H13" s="124"/>
      <c r="I13" s="124"/>
      <c r="J13" s="124"/>
      <c r="K13" s="125" t="str">
        <f>IF(ISNUMBER(E13),PRODUCT(G13:J13),"")</f>
        <v/>
      </c>
      <c r="L13" s="126" t="str">
        <f>IF(AND(ISNUMBER(F13),ISNUMBER(K13)),F13*K13,"")</f>
        <v/>
      </c>
      <c r="M13" s="23"/>
      <c r="N13" s="35" t="s">
        <v>254</v>
      </c>
      <c r="O13" s="35"/>
      <c r="P13" s="35"/>
      <c r="Q13" s="71"/>
      <c r="R13" s="71"/>
      <c r="S13" s="71"/>
      <c r="T13" s="71"/>
      <c r="U13" s="71"/>
    </row>
    <row r="14" spans="1:21" ht="24.95" customHeight="1" x14ac:dyDescent="0.25">
      <c r="A14" s="127">
        <v>4</v>
      </c>
      <c r="B14" s="120"/>
      <c r="C14" s="120"/>
      <c r="D14" s="121"/>
      <c r="E14" s="122" t="str">
        <f>IF(AND(ISNUMBER(Q75),Q75&gt;0),Q75*IF(Q74="USD",'2. Antecedentes'!$Q$16,1),"")</f>
        <v/>
      </c>
      <c r="F14" s="128" t="str">
        <f>IF(ISNUMBER(E14),E14/D14,"")</f>
        <v/>
      </c>
      <c r="G14" s="124"/>
      <c r="H14" s="124"/>
      <c r="I14" s="124"/>
      <c r="J14" s="124"/>
      <c r="K14" s="129" t="str">
        <f>IF(ISNUMBER(E14),PRODUCT(G14:J14),"")</f>
        <v/>
      </c>
      <c r="L14" s="130" t="str">
        <f>IF(AND(ISNUMBER(F14),ISNUMBER(K14)),F14*K14,"")</f>
        <v/>
      </c>
      <c r="M14" s="23"/>
      <c r="N14" s="35" t="s">
        <v>255</v>
      </c>
      <c r="O14" s="35"/>
      <c r="P14" s="35"/>
      <c r="Q14" s="76"/>
      <c r="R14" s="76"/>
      <c r="S14" s="76"/>
      <c r="T14" s="76"/>
      <c r="U14" s="76"/>
    </row>
    <row r="15" spans="1:21" ht="24.95" customHeight="1" x14ac:dyDescent="0.25">
      <c r="A15" s="306">
        <v>5</v>
      </c>
      <c r="B15" s="131"/>
      <c r="C15" s="132"/>
      <c r="D15" s="133"/>
      <c r="E15" s="134" t="str">
        <f>IF(AND(ISNUMBER(Q94),Q94&gt;0),Q94*IF(Q93="USD",'2. Antecedentes'!$Q$16,1),"")</f>
        <v/>
      </c>
      <c r="F15" s="123" t="str">
        <f>IF(ISNUMBER(E15),E15/D15,"")</f>
        <v/>
      </c>
      <c r="G15" s="135"/>
      <c r="H15" s="135"/>
      <c r="I15" s="135"/>
      <c r="J15" s="135"/>
      <c r="K15" s="125" t="str">
        <f>IF(ISNUMBER(E15),PRODUCT(G15:J15),"")</f>
        <v/>
      </c>
      <c r="L15" s="308" t="str">
        <f>IF(AND(ISNUMBER(F15),ISNUMBER(K15)),F15*K15,"")</f>
        <v/>
      </c>
      <c r="M15" s="23"/>
      <c r="N15" s="35" t="s">
        <v>256</v>
      </c>
      <c r="O15" s="35"/>
      <c r="P15" s="35"/>
      <c r="Q15" s="76"/>
      <c r="R15" s="76"/>
      <c r="S15" s="76"/>
      <c r="T15" s="76"/>
      <c r="U15" s="76"/>
    </row>
    <row r="16" spans="1:21" ht="20.100000000000001" customHeight="1" x14ac:dyDescent="0.25">
      <c r="A16" s="304" t="s">
        <v>135</v>
      </c>
      <c r="B16" s="305"/>
      <c r="C16" s="136"/>
      <c r="D16" s="136"/>
      <c r="E16" s="136"/>
      <c r="F16" s="136"/>
      <c r="G16" s="136"/>
      <c r="H16" s="136"/>
      <c r="I16" s="136"/>
      <c r="J16" s="136"/>
      <c r="K16" s="136"/>
      <c r="L16" s="307" t="str">
        <f>IF(COUNT(L11:L15)&gt;=3,AVERAGE(L11:L15),"")</f>
        <v/>
      </c>
      <c r="M16" s="23"/>
      <c r="N16" s="35" t="s">
        <v>257</v>
      </c>
      <c r="O16" s="35"/>
      <c r="P16" s="35"/>
      <c r="Q16" s="71"/>
      <c r="R16" s="71"/>
      <c r="S16" s="71"/>
      <c r="T16" s="71"/>
      <c r="U16" s="71"/>
    </row>
    <row r="17" spans="1:21" ht="14.1" customHeight="1" x14ac:dyDescent="0.25">
      <c r="A17" s="357" t="s">
        <v>369</v>
      </c>
      <c r="B17" s="357"/>
      <c r="C17" s="357"/>
      <c r="D17" s="357"/>
      <c r="E17" s="357"/>
      <c r="F17" s="357"/>
      <c r="G17" s="357"/>
      <c r="H17" s="357"/>
      <c r="I17" s="357"/>
      <c r="J17" s="357"/>
      <c r="K17" s="358" t="str">
        <f>IF(AND(ISNUMBER(L16),COUNT(L11:L15)&gt;1),STDEV(L11:L15),"")</f>
        <v/>
      </c>
      <c r="L17" s="359" t="str">
        <f>IF(ISNUMBER(K17),K17/L16,"")</f>
        <v/>
      </c>
      <c r="M17" s="23"/>
      <c r="N17" s="35" t="s">
        <v>60</v>
      </c>
      <c r="O17" s="35"/>
      <c r="P17" s="35"/>
      <c r="Q17" s="71"/>
      <c r="R17" s="71"/>
      <c r="S17" s="71"/>
      <c r="T17" s="71"/>
      <c r="U17" s="71"/>
    </row>
    <row r="18" spans="1:21" ht="18" customHeight="1" x14ac:dyDescent="0.25">
      <c r="A18" s="295" t="s">
        <v>136</v>
      </c>
      <c r="B18" s="41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23"/>
      <c r="N18" s="35" t="s">
        <v>258</v>
      </c>
      <c r="O18" s="35"/>
      <c r="P18" s="35"/>
      <c r="Q18" s="137"/>
      <c r="R18" s="137"/>
      <c r="S18" s="137"/>
      <c r="T18" s="137"/>
      <c r="U18" s="137"/>
    </row>
    <row r="19" spans="1:21" ht="17.100000000000001" customHeight="1" x14ac:dyDescent="0.25">
      <c r="A19" s="296" t="s">
        <v>111</v>
      </c>
      <c r="B19" s="14"/>
      <c r="C19" s="14"/>
      <c r="D19" s="138" t="str">
        <f>IF(ISNUMBER('4. Inmueble'!D10),'4. Inmueble'!D10,"")</f>
        <v/>
      </c>
      <c r="E19" s="139"/>
      <c r="F19" s="139"/>
      <c r="G19" s="14" t="s">
        <v>137</v>
      </c>
      <c r="H19" s="14"/>
      <c r="I19" s="14"/>
      <c r="J19" s="140" t="str">
        <f>IF(L16="","",L16)</f>
        <v/>
      </c>
      <c r="K19" s="141"/>
      <c r="L19" s="141"/>
      <c r="M19" s="23"/>
      <c r="N19" s="35" t="s">
        <v>259</v>
      </c>
      <c r="O19" s="35"/>
      <c r="P19" s="35"/>
      <c r="Q19" s="71"/>
      <c r="R19" s="71"/>
      <c r="S19" s="71"/>
      <c r="T19" s="71"/>
      <c r="U19" s="71"/>
    </row>
    <row r="20" spans="1:21" ht="26.1" customHeight="1" x14ac:dyDescent="0.25">
      <c r="A20" s="14" t="s">
        <v>260</v>
      </c>
      <c r="B20" s="14"/>
      <c r="C20" s="14"/>
      <c r="D20" s="360">
        <v>1</v>
      </c>
      <c r="E20" s="142"/>
      <c r="F20" s="142"/>
      <c r="G20" s="14" t="s">
        <v>370</v>
      </c>
      <c r="H20" s="14"/>
      <c r="I20" s="14"/>
      <c r="J20" s="15"/>
      <c r="K20" s="15"/>
      <c r="L20" s="15"/>
      <c r="M20" s="23"/>
      <c r="N20" s="35" t="s">
        <v>261</v>
      </c>
      <c r="O20" s="35"/>
      <c r="P20" s="35"/>
      <c r="Q20" s="71"/>
      <c r="R20" s="71"/>
      <c r="S20" s="71"/>
      <c r="T20" s="71"/>
      <c r="U20" s="71"/>
    </row>
    <row r="21" spans="1:21" ht="24" customHeight="1" x14ac:dyDescent="0.25">
      <c r="A21" s="63" t="s">
        <v>138</v>
      </c>
      <c r="B21" s="64"/>
      <c r="C21" s="64"/>
      <c r="D21" s="64"/>
      <c r="E21" s="64"/>
      <c r="F21" s="64"/>
      <c r="G21" s="64"/>
      <c r="H21" s="64"/>
      <c r="I21" s="64"/>
      <c r="J21" s="65" t="str">
        <f>IF(AND(ISNUMBER(D19),D19&gt;0,ISNUMBER(J19)),D19*J19*IF(ISNUMBER(D20),D20,1),"")</f>
        <v/>
      </c>
      <c r="K21" s="66"/>
      <c r="L21" s="66"/>
      <c r="M21" s="23"/>
      <c r="N21" s="35" t="s">
        <v>262</v>
      </c>
      <c r="O21" s="35"/>
      <c r="P21" s="35"/>
      <c r="Q21" s="71"/>
      <c r="R21" s="71"/>
      <c r="S21" s="71"/>
      <c r="T21" s="71"/>
      <c r="U21" s="71"/>
    </row>
    <row r="22" spans="1:21" ht="6.95" customHeight="1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23"/>
      <c r="N22" s="35" t="s">
        <v>263</v>
      </c>
      <c r="O22" s="35"/>
      <c r="P22" s="35"/>
      <c r="Q22" s="71"/>
      <c r="R22" s="71"/>
      <c r="S22" s="71"/>
      <c r="T22" s="71"/>
      <c r="U22" s="71"/>
    </row>
    <row r="23" spans="1:21" ht="18" customHeight="1" x14ac:dyDescent="0.25">
      <c r="A23" s="295" t="s">
        <v>139</v>
      </c>
      <c r="B23" s="41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23"/>
      <c r="N23" s="35" t="s">
        <v>264</v>
      </c>
      <c r="O23" s="35"/>
      <c r="P23" s="35"/>
      <c r="Q23" s="71"/>
      <c r="R23" s="71"/>
      <c r="S23" s="71"/>
      <c r="T23" s="71"/>
      <c r="U23" s="71"/>
    </row>
    <row r="24" spans="1:21" ht="15" customHeight="1" x14ac:dyDescent="0.25">
      <c r="A24" s="309"/>
      <c r="B24" s="99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23"/>
      <c r="N24" s="35" t="s">
        <v>265</v>
      </c>
      <c r="O24" s="35"/>
      <c r="P24" s="35"/>
      <c r="Q24" s="71"/>
      <c r="R24" s="71"/>
      <c r="S24" s="71"/>
      <c r="T24" s="71"/>
      <c r="U24" s="71"/>
    </row>
    <row r="25" spans="1:21" ht="15" customHeight="1" x14ac:dyDescent="0.25">
      <c r="A25" s="99"/>
      <c r="B25" s="99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23"/>
      <c r="N25" s="35" t="s">
        <v>266</v>
      </c>
      <c r="O25" s="35"/>
      <c r="P25" s="35"/>
      <c r="Q25" s="71" t="str">
        <f>IF(Q11="Excluir",IF(Q24="","Explicar exclusión","Excluido"),IF(Q11&lt;&gt;"Incluir","Pendiente",IF(OR(B11="",Q12="",Q13="",Q19="",Q20="",Q21="",Q22="",Q23="",Q24=""),"Completar fuentes y ajustes",IF(OR(NOT(ISNUMBER(Q14)),NOT(ISNUMBER(Q15))),"Faltan fechas",IF(OR(Q14&lt;=0,Q15&lt;=0,Q14&gt;'2. Antecedentes'!$E$25,Q15&gt;'2. Antecedentes'!$Q$10),"Revisar fechas",IF(OR($Q$8="",Q16&lt;&gt;$Q$8),"No mezclar tipos de precio",IF(OR(AND(Q30="Incluir",OR(Q31=Q12,Q32=Q13)),AND(Q49="Incluir",OR(Q50=Q12,Q51=Q13)),AND(Q68="Incluir",OR(Q69=Q12,Q70=Q13)),AND(Q87="Incluir",OR(Q88=Q12,Q89=Q13))),"Fuente duplicada",IF(OR(NOT(ISNUMBER(D11)),D11&lt;=0,NOT(ISNUMBER(Q18)),Q18&lt;=0),"Falta precio o superficie",IF(AND(Q17&lt;&gt;"MXN",Q17&lt;&gt;"USD"),"Falta moneda",IF(AND(Q17="USD",OR(NOT(ISNUMBER('2. Antecedentes'!$Q$16)),'2. Antecedentes'!$Q$16&lt;=0,NOT(ISNUMBER('2. Antecedentes'!$Q$17)),'2. Antecedentes'!$Q$17&lt;=0,'2. Antecedentes'!$Q$17&gt;'2. Antecedentes'!$Q$10,'2. Antecedentes'!$Q$18="")),"Falta conversión USD",IF(OR(COUNT(G11:J11)&lt;&gt;4,MIN(G11:J11)&lt;=0),"Completar factores","Incluido")))))))))))</f>
        <v>Pendiente</v>
      </c>
      <c r="R25" s="71"/>
      <c r="S25" s="71"/>
      <c r="T25" s="71"/>
      <c r="U25" s="71"/>
    </row>
    <row r="26" spans="1:21" ht="15" customHeight="1" x14ac:dyDescent="0.25">
      <c r="A26" s="99"/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23"/>
      <c r="N26" s="24"/>
      <c r="O26" s="24"/>
      <c r="P26" s="24"/>
      <c r="Q26" s="24"/>
      <c r="R26" s="24"/>
      <c r="S26" s="24"/>
      <c r="T26" s="24"/>
      <c r="U26" s="24"/>
    </row>
    <row r="27" spans="1:21" ht="15" customHeight="1" x14ac:dyDescent="0.25">
      <c r="A27" s="99"/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23"/>
      <c r="N27" s="288" t="str">
        <f>IF(ISNUMBER(L16),"Fuentes completas: "&amp;COUNT(L11:L15)&amp;". Revisar pertinencia y dispersión.","Pendiente: mínimo 3 fuentes completas y ninguna seleccionada con errores.")</f>
        <v>Pendiente: mínimo 3 fuentes completas y ninguna seleccionada con errores.</v>
      </c>
      <c r="O27" s="24"/>
      <c r="P27" s="24"/>
      <c r="Q27" s="24"/>
      <c r="R27" s="24"/>
      <c r="S27" s="24"/>
      <c r="T27" s="24"/>
      <c r="U27" s="24"/>
    </row>
    <row r="28" spans="1:21" ht="15" customHeight="1" x14ac:dyDescent="0.25">
      <c r="A28" s="99"/>
      <c r="B28" s="99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23"/>
      <c r="N28" s="24"/>
      <c r="O28" s="24"/>
      <c r="P28" s="24"/>
      <c r="Q28" s="24"/>
      <c r="R28" s="24"/>
      <c r="S28" s="24"/>
      <c r="T28" s="24"/>
      <c r="U28" s="24"/>
    </row>
    <row r="29" spans="1:21" ht="15" customHeight="1" x14ac:dyDescent="0.25">
      <c r="A29" s="99"/>
      <c r="B29" s="99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23"/>
      <c r="N29" s="29" t="s">
        <v>326</v>
      </c>
      <c r="O29" s="29"/>
      <c r="P29" s="29"/>
      <c r="Q29" s="29"/>
      <c r="R29" s="29"/>
      <c r="S29" s="29"/>
      <c r="T29" s="29"/>
      <c r="U29" s="29"/>
    </row>
    <row r="30" spans="1:21" ht="6.95" customHeight="1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23"/>
      <c r="N30" s="35" t="s">
        <v>252</v>
      </c>
      <c r="O30" s="35"/>
      <c r="P30" s="35"/>
      <c r="Q30" s="71" t="s">
        <v>228</v>
      </c>
      <c r="R30" s="71"/>
      <c r="S30" s="71"/>
      <c r="T30" s="71"/>
      <c r="U30" s="71"/>
    </row>
    <row r="31" spans="1:21" ht="24" customHeight="1" x14ac:dyDescent="0.25">
      <c r="A31" s="361" t="s">
        <v>340</v>
      </c>
      <c r="B31" s="143"/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23"/>
      <c r="N31" s="35" t="s">
        <v>253</v>
      </c>
      <c r="O31" s="35"/>
      <c r="P31" s="35"/>
      <c r="Q31" s="71"/>
      <c r="R31" s="71"/>
      <c r="S31" s="71"/>
      <c r="T31" s="71"/>
      <c r="U31" s="71"/>
    </row>
    <row r="32" spans="1:21" ht="6.95" customHeight="1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23"/>
      <c r="N32" s="35" t="s">
        <v>254</v>
      </c>
      <c r="O32" s="35"/>
      <c r="P32" s="35"/>
      <c r="Q32" s="71"/>
      <c r="R32" s="71"/>
      <c r="S32" s="71"/>
      <c r="T32" s="71"/>
      <c r="U32" s="71"/>
    </row>
    <row r="33" spans="1:21" ht="21.95" customHeight="1" x14ac:dyDescent="0.25">
      <c r="A33" s="292" t="s">
        <v>341</v>
      </c>
      <c r="B33" s="292"/>
      <c r="C33" s="292"/>
      <c r="D33" s="292"/>
      <c r="E33" s="292"/>
      <c r="F33" s="292"/>
      <c r="G33" s="292"/>
      <c r="H33" s="292"/>
      <c r="I33" s="292"/>
      <c r="J33" s="292"/>
      <c r="K33" s="292"/>
      <c r="L33" s="292"/>
      <c r="M33" s="23"/>
      <c r="N33" s="35" t="s">
        <v>255</v>
      </c>
      <c r="O33" s="35"/>
      <c r="P33" s="35"/>
      <c r="Q33" s="76"/>
      <c r="R33" s="76"/>
      <c r="S33" s="76"/>
      <c r="T33" s="76"/>
      <c r="U33" s="76"/>
    </row>
    <row r="34" spans="1:21" x14ac:dyDescent="0.25">
      <c r="A34" s="35" t="s">
        <v>267</v>
      </c>
      <c r="B34" s="35"/>
      <c r="C34" s="35" t="s">
        <v>268</v>
      </c>
      <c r="D34" s="35"/>
      <c r="E34" s="35"/>
      <c r="F34" s="35"/>
      <c r="G34" s="35"/>
      <c r="H34" s="35"/>
      <c r="I34" s="35" t="s">
        <v>269</v>
      </c>
      <c r="J34" s="35"/>
      <c r="K34" s="35"/>
      <c r="L34" s="35"/>
      <c r="M34" s="23"/>
      <c r="N34" s="35" t="s">
        <v>256</v>
      </c>
      <c r="O34" s="35"/>
      <c r="P34" s="35"/>
      <c r="Q34" s="76"/>
      <c r="R34" s="76"/>
      <c r="S34" s="76"/>
      <c r="T34" s="76"/>
      <c r="U34" s="76"/>
    </row>
    <row r="35" spans="1:21" ht="24.95" customHeight="1" x14ac:dyDescent="0.25">
      <c r="A35" s="144" t="s">
        <v>270</v>
      </c>
      <c r="B35" s="144"/>
      <c r="C35" s="144" t="str">
        <f>IF(Q13="","",Q13)</f>
        <v/>
      </c>
      <c r="D35" s="144"/>
      <c r="E35" s="144"/>
      <c r="F35" s="144"/>
      <c r="G35" s="144"/>
      <c r="H35" s="144"/>
      <c r="I35" s="145" t="str">
        <f>IF(Q15="","",Q15)</f>
        <v/>
      </c>
      <c r="J35" s="145"/>
      <c r="K35" s="144"/>
      <c r="L35" s="144"/>
      <c r="M35" s="23"/>
      <c r="N35" s="35" t="s">
        <v>257</v>
      </c>
      <c r="O35" s="35"/>
      <c r="P35" s="35"/>
      <c r="Q35" s="71"/>
      <c r="R35" s="71"/>
      <c r="S35" s="71"/>
      <c r="T35" s="71"/>
      <c r="U35" s="71"/>
    </row>
    <row r="36" spans="1:21" ht="24.95" customHeight="1" x14ac:dyDescent="0.25">
      <c r="A36" s="144" t="s">
        <v>271</v>
      </c>
      <c r="B36" s="144"/>
      <c r="C36" s="144" t="str">
        <f>IF(Q32="","",Q32)</f>
        <v/>
      </c>
      <c r="D36" s="144"/>
      <c r="E36" s="144"/>
      <c r="F36" s="144"/>
      <c r="G36" s="144"/>
      <c r="H36" s="144"/>
      <c r="I36" s="145" t="str">
        <f>IF(Q34="","",Q34)</f>
        <v/>
      </c>
      <c r="J36" s="145"/>
      <c r="K36" s="144"/>
      <c r="L36" s="144"/>
      <c r="M36" s="23"/>
      <c r="N36" s="35" t="s">
        <v>60</v>
      </c>
      <c r="O36" s="35"/>
      <c r="P36" s="35"/>
      <c r="Q36" s="71"/>
      <c r="R36" s="71"/>
      <c r="S36" s="71"/>
      <c r="T36" s="71"/>
      <c r="U36" s="71"/>
    </row>
    <row r="37" spans="1:21" ht="24.95" customHeight="1" x14ac:dyDescent="0.25">
      <c r="A37" s="144" t="s">
        <v>272</v>
      </c>
      <c r="B37" s="144"/>
      <c r="C37" s="144" t="str">
        <f>IF(Q51="","",Q51)</f>
        <v/>
      </c>
      <c r="D37" s="144"/>
      <c r="E37" s="144"/>
      <c r="F37" s="144"/>
      <c r="G37" s="144"/>
      <c r="H37" s="144"/>
      <c r="I37" s="145" t="str">
        <f>IF(Q53="","",Q53)</f>
        <v/>
      </c>
      <c r="J37" s="145"/>
      <c r="K37" s="144"/>
      <c r="L37" s="144"/>
      <c r="M37" s="23"/>
      <c r="N37" s="35" t="s">
        <v>258</v>
      </c>
      <c r="O37" s="35"/>
      <c r="P37" s="35"/>
      <c r="Q37" s="137"/>
      <c r="R37" s="137"/>
      <c r="S37" s="137"/>
      <c r="T37" s="137"/>
      <c r="U37" s="137"/>
    </row>
    <row r="38" spans="1:21" ht="24.95" customHeight="1" x14ac:dyDescent="0.25">
      <c r="A38" s="144" t="s">
        <v>273</v>
      </c>
      <c r="B38" s="144"/>
      <c r="C38" s="144" t="str">
        <f>IF(Q70="","",Q70)</f>
        <v/>
      </c>
      <c r="D38" s="144"/>
      <c r="E38" s="144"/>
      <c r="F38" s="144"/>
      <c r="G38" s="144"/>
      <c r="H38" s="144"/>
      <c r="I38" s="145" t="str">
        <f>IF(Q72="","",Q72)</f>
        <v/>
      </c>
      <c r="J38" s="145"/>
      <c r="K38" s="144"/>
      <c r="L38" s="144"/>
      <c r="M38" s="23"/>
      <c r="N38" s="35" t="s">
        <v>259</v>
      </c>
      <c r="O38" s="35"/>
      <c r="P38" s="35"/>
      <c r="Q38" s="71"/>
      <c r="R38" s="71"/>
      <c r="S38" s="71"/>
      <c r="T38" s="71"/>
      <c r="U38" s="71"/>
    </row>
    <row r="39" spans="1:21" ht="24.95" customHeight="1" x14ac:dyDescent="0.25">
      <c r="A39" s="144" t="s">
        <v>274</v>
      </c>
      <c r="B39" s="144"/>
      <c r="C39" s="144" t="str">
        <f>IF(Q89="","",Q89)</f>
        <v/>
      </c>
      <c r="D39" s="144"/>
      <c r="E39" s="144"/>
      <c r="F39" s="144"/>
      <c r="G39" s="144"/>
      <c r="H39" s="144"/>
      <c r="I39" s="145" t="str">
        <f>IF(Q91="","",Q91)</f>
        <v/>
      </c>
      <c r="J39" s="145"/>
      <c r="K39" s="144"/>
      <c r="L39" s="144"/>
      <c r="M39" s="23"/>
      <c r="N39" s="35" t="s">
        <v>261</v>
      </c>
      <c r="O39" s="35"/>
      <c r="P39" s="35"/>
      <c r="Q39" s="71"/>
      <c r="R39" s="71"/>
      <c r="S39" s="71"/>
      <c r="T39" s="71"/>
      <c r="U39" s="71"/>
    </row>
    <row r="40" spans="1:2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23"/>
      <c r="N40" s="35" t="s">
        <v>262</v>
      </c>
      <c r="O40" s="35"/>
      <c r="P40" s="35"/>
      <c r="Q40" s="71"/>
      <c r="R40" s="71"/>
      <c r="S40" s="71"/>
      <c r="T40" s="71"/>
      <c r="U40" s="71"/>
    </row>
    <row r="41" spans="1:21" ht="26.1" customHeight="1" x14ac:dyDescent="0.25">
      <c r="A41" s="289"/>
      <c r="B41" s="289"/>
      <c r="C41" s="289"/>
      <c r="D41" s="289"/>
      <c r="E41" s="289"/>
      <c r="F41" s="289"/>
      <c r="G41" s="289"/>
      <c r="H41" s="289"/>
      <c r="I41" s="289"/>
      <c r="J41" s="289"/>
      <c r="K41" s="289"/>
      <c r="L41" s="289"/>
      <c r="M41" s="23"/>
      <c r="N41" s="35" t="s">
        <v>263</v>
      </c>
      <c r="O41" s="35"/>
      <c r="P41" s="35"/>
      <c r="Q41" s="71"/>
      <c r="R41" s="71"/>
      <c r="S41" s="71"/>
      <c r="T41" s="71"/>
      <c r="U41" s="71"/>
    </row>
    <row r="42" spans="1:21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23"/>
      <c r="N42" s="35" t="s">
        <v>264</v>
      </c>
      <c r="O42" s="35"/>
      <c r="P42" s="35"/>
      <c r="Q42" s="71"/>
      <c r="R42" s="71"/>
      <c r="S42" s="71"/>
      <c r="T42" s="71"/>
      <c r="U42" s="71"/>
    </row>
    <row r="43" spans="1:2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23"/>
      <c r="N43" s="35" t="s">
        <v>265</v>
      </c>
      <c r="O43" s="35"/>
      <c r="P43" s="35"/>
      <c r="Q43" s="71"/>
      <c r="R43" s="71"/>
      <c r="S43" s="71"/>
      <c r="T43" s="71"/>
      <c r="U43" s="71"/>
    </row>
    <row r="44" spans="1:2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23"/>
      <c r="N44" s="35" t="s">
        <v>266</v>
      </c>
      <c r="O44" s="35"/>
      <c r="P44" s="35"/>
      <c r="Q44" s="71" t="str">
        <f>IF(Q30="Excluir",IF(Q43="","Explicar exclusión","Excluido"),IF(Q30&lt;&gt;"Incluir","Pendiente",IF(OR(B12="",Q31="",Q32="",Q38="",Q39="",Q40="",Q41="",Q42="",Q43=""),"Completar fuentes y ajustes",IF(OR(NOT(ISNUMBER(Q33)),NOT(ISNUMBER(Q34))),"Faltan fechas",IF(OR(Q33&lt;=0,Q34&lt;=0,Q33&gt;'2. Antecedentes'!$E$25,Q34&gt;'2. Antecedentes'!$Q$10),"Revisar fechas",IF(OR($Q$8="",Q35&lt;&gt;$Q$8),"No mezclar tipos de precio",IF(OR(AND(Q11="Incluir",OR(Q12=Q31,Q13=Q32)),AND(Q49="Incluir",OR(Q50=Q31,Q51=Q32)),AND(Q68="Incluir",OR(Q69=Q31,Q70=Q32)),AND(Q87="Incluir",OR(Q88=Q31,Q89=Q32))),"Fuente duplicada",IF(OR(NOT(ISNUMBER(D12)),D12&lt;=0,NOT(ISNUMBER(Q37)),Q37&lt;=0),"Falta precio o superficie",IF(AND(Q36&lt;&gt;"MXN",Q36&lt;&gt;"USD"),"Falta moneda",IF(AND(Q36="USD",OR(NOT(ISNUMBER('2. Antecedentes'!$Q$16)),'2. Antecedentes'!$Q$16&lt;=0,NOT(ISNUMBER('2. Antecedentes'!$Q$17)),'2. Antecedentes'!$Q$17&lt;=0,'2. Antecedentes'!$Q$17&gt;'2. Antecedentes'!$Q$10,'2. Antecedentes'!$Q$18="")),"Falta conversión USD",IF(OR(COUNT(G12:J12)&lt;&gt;4,MIN(G12:J12)&lt;=0),"Completar factores","Incluido")))))))))))</f>
        <v>Pendiente</v>
      </c>
      <c r="R44" s="71"/>
      <c r="S44" s="71"/>
      <c r="T44" s="71"/>
      <c r="U44" s="71"/>
    </row>
    <row r="45" spans="1:2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23"/>
      <c r="N45" s="24"/>
      <c r="O45" s="24"/>
      <c r="P45" s="24"/>
      <c r="Q45" s="24"/>
      <c r="R45" s="24"/>
      <c r="S45" s="24"/>
      <c r="T45" s="24"/>
      <c r="U45" s="24"/>
    </row>
    <row r="46" spans="1:2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23"/>
      <c r="N46" s="24"/>
      <c r="O46" s="24"/>
      <c r="P46" s="24"/>
      <c r="Q46" s="24"/>
      <c r="R46" s="24"/>
      <c r="S46" s="24"/>
      <c r="T46" s="24"/>
      <c r="U46" s="24"/>
    </row>
    <row r="47" spans="1:2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23"/>
      <c r="N47" s="24"/>
      <c r="O47" s="24"/>
      <c r="P47" s="24"/>
      <c r="Q47" s="24"/>
      <c r="R47" s="24"/>
      <c r="S47" s="24"/>
      <c r="T47" s="24"/>
      <c r="U47" s="24"/>
    </row>
    <row r="48" spans="1:2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23"/>
      <c r="N48" s="29" t="s">
        <v>327</v>
      </c>
      <c r="O48" s="29"/>
      <c r="P48" s="29"/>
      <c r="Q48" s="29"/>
      <c r="R48" s="29"/>
      <c r="S48" s="29"/>
      <c r="T48" s="29"/>
      <c r="U48" s="29"/>
    </row>
    <row r="49" spans="1:2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23"/>
      <c r="N49" s="35" t="s">
        <v>252</v>
      </c>
      <c r="O49" s="35"/>
      <c r="P49" s="35"/>
      <c r="Q49" s="71" t="s">
        <v>228</v>
      </c>
      <c r="R49" s="71"/>
      <c r="S49" s="71"/>
      <c r="T49" s="71"/>
      <c r="U49" s="71"/>
    </row>
    <row r="50" spans="1:2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23"/>
      <c r="N50" s="35" t="s">
        <v>253</v>
      </c>
      <c r="O50" s="35"/>
      <c r="P50" s="35"/>
      <c r="Q50" s="71"/>
      <c r="R50" s="71"/>
      <c r="S50" s="71"/>
      <c r="T50" s="71"/>
      <c r="U50" s="71"/>
    </row>
    <row r="51" spans="1:2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23"/>
      <c r="N51" s="35" t="s">
        <v>254</v>
      </c>
      <c r="O51" s="35"/>
      <c r="P51" s="35"/>
      <c r="Q51" s="71"/>
      <c r="R51" s="71"/>
      <c r="S51" s="71"/>
      <c r="T51" s="71"/>
      <c r="U51" s="71"/>
    </row>
    <row r="52" spans="1:2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23"/>
      <c r="N52" s="35" t="s">
        <v>255</v>
      </c>
      <c r="O52" s="35"/>
      <c r="P52" s="35"/>
      <c r="Q52" s="76"/>
      <c r="R52" s="76"/>
      <c r="S52" s="76"/>
      <c r="T52" s="76"/>
      <c r="U52" s="76"/>
    </row>
    <row r="53" spans="1:2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23"/>
      <c r="N53" s="35" t="s">
        <v>256</v>
      </c>
      <c r="O53" s="35"/>
      <c r="P53" s="35"/>
      <c r="Q53" s="76"/>
      <c r="R53" s="76"/>
      <c r="S53" s="76"/>
      <c r="T53" s="76"/>
      <c r="U53" s="76"/>
    </row>
    <row r="54" spans="1:2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23"/>
      <c r="N54" s="35" t="s">
        <v>257</v>
      </c>
      <c r="O54" s="35"/>
      <c r="P54" s="35"/>
      <c r="Q54" s="71"/>
      <c r="R54" s="71"/>
      <c r="S54" s="71"/>
      <c r="T54" s="71"/>
      <c r="U54" s="71"/>
    </row>
    <row r="55" spans="1:2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23"/>
      <c r="N55" s="35" t="s">
        <v>60</v>
      </c>
      <c r="O55" s="35"/>
      <c r="P55" s="35"/>
      <c r="Q55" s="71"/>
      <c r="R55" s="71"/>
      <c r="S55" s="71"/>
      <c r="T55" s="71"/>
      <c r="U55" s="71"/>
    </row>
    <row r="56" spans="1:2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23"/>
      <c r="N56" s="35" t="s">
        <v>258</v>
      </c>
      <c r="O56" s="35"/>
      <c r="P56" s="35"/>
      <c r="Q56" s="137"/>
      <c r="R56" s="137"/>
      <c r="S56" s="137"/>
      <c r="T56" s="137"/>
      <c r="U56" s="137"/>
    </row>
    <row r="57" spans="1:2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23"/>
      <c r="N57" s="35" t="s">
        <v>259</v>
      </c>
      <c r="O57" s="35"/>
      <c r="P57" s="35"/>
      <c r="Q57" s="71"/>
      <c r="R57" s="71"/>
      <c r="S57" s="71"/>
      <c r="T57" s="71"/>
      <c r="U57" s="71"/>
    </row>
    <row r="58" spans="1:2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23"/>
      <c r="N58" s="35" t="s">
        <v>261</v>
      </c>
      <c r="O58" s="35"/>
      <c r="P58" s="35"/>
      <c r="Q58" s="71"/>
      <c r="R58" s="71"/>
      <c r="S58" s="71"/>
      <c r="T58" s="71"/>
      <c r="U58" s="71"/>
    </row>
    <row r="59" spans="1:2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23"/>
      <c r="N59" s="35" t="s">
        <v>262</v>
      </c>
      <c r="O59" s="35"/>
      <c r="P59" s="35"/>
      <c r="Q59" s="71"/>
      <c r="R59" s="71"/>
      <c r="S59" s="71"/>
      <c r="T59" s="71"/>
      <c r="U59" s="71"/>
    </row>
    <row r="60" spans="1:2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23"/>
      <c r="N60" s="35" t="s">
        <v>263</v>
      </c>
      <c r="O60" s="35"/>
      <c r="P60" s="35"/>
      <c r="Q60" s="71"/>
      <c r="R60" s="71"/>
      <c r="S60" s="71"/>
      <c r="T60" s="71"/>
      <c r="U60" s="71"/>
    </row>
    <row r="61" spans="1:21" x14ac:dyDescent="0.25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35" t="s">
        <v>264</v>
      </c>
      <c r="O61" s="35"/>
      <c r="P61" s="35"/>
      <c r="Q61" s="71"/>
      <c r="R61" s="71"/>
      <c r="S61" s="71"/>
      <c r="T61" s="71"/>
      <c r="U61" s="71"/>
    </row>
    <row r="62" spans="1:21" x14ac:dyDescent="0.25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35" t="s">
        <v>265</v>
      </c>
      <c r="O62" s="35"/>
      <c r="P62" s="35"/>
      <c r="Q62" s="71"/>
      <c r="R62" s="71"/>
      <c r="S62" s="71"/>
      <c r="T62" s="71"/>
      <c r="U62" s="71"/>
    </row>
    <row r="63" spans="1:21" x14ac:dyDescent="0.25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35" t="s">
        <v>266</v>
      </c>
      <c r="O63" s="35"/>
      <c r="P63" s="35"/>
      <c r="Q63" s="71" t="str">
        <f>IF(Q49="Excluir",IF(Q62="","Explicar exclusión","Excluido"),IF(Q49&lt;&gt;"Incluir","Pendiente",IF(OR(B13="",Q50="",Q51="",Q57="",Q58="",Q59="",Q60="",Q61="",Q62=""),"Completar fuentes y ajustes",IF(OR(NOT(ISNUMBER(Q52)),NOT(ISNUMBER(Q53))),"Faltan fechas",IF(OR(Q52&lt;=0,Q53&lt;=0,Q52&gt;'2. Antecedentes'!$E$25,Q53&gt;'2. Antecedentes'!$Q$10),"Revisar fechas",IF(OR($Q$8="",Q54&lt;&gt;$Q$8),"No mezclar tipos de precio",IF(OR(AND(Q11="Incluir",OR(Q12=Q50,Q13=Q51)),AND(Q30="Incluir",OR(Q31=Q50,Q32=Q51)),AND(Q68="Incluir",OR(Q69=Q50,Q70=Q51)),AND(Q87="Incluir",OR(Q88=Q50,Q89=Q51))),"Fuente duplicada",IF(OR(NOT(ISNUMBER(D13)),D13&lt;=0,NOT(ISNUMBER(Q56)),Q56&lt;=0),"Falta precio o superficie",IF(AND(Q55&lt;&gt;"MXN",Q55&lt;&gt;"USD"),"Falta moneda",IF(AND(Q55="USD",OR(NOT(ISNUMBER('2. Antecedentes'!$Q$16)),'2. Antecedentes'!$Q$16&lt;=0,NOT(ISNUMBER('2. Antecedentes'!$Q$17)),'2. Antecedentes'!$Q$17&lt;=0,'2. Antecedentes'!$Q$17&gt;'2. Antecedentes'!$Q$10,'2. Antecedentes'!$Q$18="")),"Falta conversión USD",IF(OR(COUNT(G13:J13)&lt;&gt;4,MIN(G13:J13)&lt;=0),"Completar factores","Incluido")))))))))))</f>
        <v>Pendiente</v>
      </c>
      <c r="R63" s="71"/>
      <c r="S63" s="71"/>
      <c r="T63" s="71"/>
      <c r="U63" s="71"/>
    </row>
    <row r="64" spans="1:21" x14ac:dyDescent="0.25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4"/>
      <c r="O64" s="24"/>
      <c r="P64" s="24"/>
      <c r="Q64" s="24"/>
      <c r="R64" s="24"/>
      <c r="S64" s="24"/>
      <c r="T64" s="24"/>
      <c r="U64" s="24"/>
    </row>
    <row r="65" spans="1:21" x14ac:dyDescent="0.2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4"/>
      <c r="O65" s="24"/>
      <c r="P65" s="24"/>
      <c r="Q65" s="24"/>
      <c r="R65" s="24"/>
      <c r="S65" s="24"/>
      <c r="T65" s="24"/>
      <c r="U65" s="24"/>
    </row>
    <row r="66" spans="1:21" x14ac:dyDescent="0.25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4"/>
      <c r="O66" s="24"/>
      <c r="P66" s="24"/>
      <c r="Q66" s="24"/>
      <c r="R66" s="24"/>
      <c r="S66" s="24"/>
      <c r="T66" s="24"/>
      <c r="U66" s="24"/>
    </row>
    <row r="67" spans="1:21" x14ac:dyDescent="0.25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9" t="s">
        <v>328</v>
      </c>
      <c r="O67" s="29"/>
      <c r="P67" s="29"/>
      <c r="Q67" s="29"/>
      <c r="R67" s="29"/>
      <c r="S67" s="29"/>
      <c r="T67" s="29"/>
      <c r="U67" s="29"/>
    </row>
    <row r="68" spans="1:21" x14ac:dyDescent="0.25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35" t="s">
        <v>252</v>
      </c>
      <c r="O68" s="35"/>
      <c r="P68" s="35"/>
      <c r="Q68" s="71" t="s">
        <v>228</v>
      </c>
      <c r="R68" s="71"/>
      <c r="S68" s="71"/>
      <c r="T68" s="71"/>
      <c r="U68" s="71"/>
    </row>
    <row r="69" spans="1:21" x14ac:dyDescent="0.25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35" t="s">
        <v>253</v>
      </c>
      <c r="O69" s="35"/>
      <c r="P69" s="35"/>
      <c r="Q69" s="71"/>
      <c r="R69" s="71"/>
      <c r="S69" s="71"/>
      <c r="T69" s="71"/>
      <c r="U69" s="71"/>
    </row>
    <row r="70" spans="1:21" x14ac:dyDescent="0.25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35" t="s">
        <v>254</v>
      </c>
      <c r="O70" s="35"/>
      <c r="P70" s="35"/>
      <c r="Q70" s="71"/>
      <c r="R70" s="71"/>
      <c r="S70" s="71"/>
      <c r="T70" s="71"/>
      <c r="U70" s="71"/>
    </row>
    <row r="71" spans="1:21" x14ac:dyDescent="0.25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35" t="s">
        <v>255</v>
      </c>
      <c r="O71" s="35"/>
      <c r="P71" s="35"/>
      <c r="Q71" s="76"/>
      <c r="R71" s="76"/>
      <c r="S71" s="76"/>
      <c r="T71" s="76"/>
      <c r="U71" s="76"/>
    </row>
    <row r="72" spans="1:21" x14ac:dyDescent="0.25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35" t="s">
        <v>256</v>
      </c>
      <c r="O72" s="35"/>
      <c r="P72" s="35"/>
      <c r="Q72" s="76"/>
      <c r="R72" s="76"/>
      <c r="S72" s="76"/>
      <c r="T72" s="76"/>
      <c r="U72" s="76"/>
    </row>
    <row r="73" spans="1:21" x14ac:dyDescent="0.25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35" t="s">
        <v>257</v>
      </c>
      <c r="O73" s="35"/>
      <c r="P73" s="35"/>
      <c r="Q73" s="71"/>
      <c r="R73" s="71"/>
      <c r="S73" s="71"/>
      <c r="T73" s="71"/>
      <c r="U73" s="71"/>
    </row>
    <row r="74" spans="1:21" x14ac:dyDescent="0.25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35" t="s">
        <v>60</v>
      </c>
      <c r="O74" s="35"/>
      <c r="P74" s="35"/>
      <c r="Q74" s="71"/>
      <c r="R74" s="71"/>
      <c r="S74" s="71"/>
      <c r="T74" s="71"/>
      <c r="U74" s="71"/>
    </row>
    <row r="75" spans="1:21" x14ac:dyDescent="0.2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35" t="s">
        <v>258</v>
      </c>
      <c r="O75" s="35"/>
      <c r="P75" s="35"/>
      <c r="Q75" s="137"/>
      <c r="R75" s="137"/>
      <c r="S75" s="137"/>
      <c r="T75" s="137"/>
      <c r="U75" s="137"/>
    </row>
    <row r="76" spans="1:21" x14ac:dyDescent="0.25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35" t="s">
        <v>259</v>
      </c>
      <c r="O76" s="35"/>
      <c r="P76" s="35"/>
      <c r="Q76" s="71"/>
      <c r="R76" s="71"/>
      <c r="S76" s="71"/>
      <c r="T76" s="71"/>
      <c r="U76" s="71"/>
    </row>
    <row r="77" spans="1:21" x14ac:dyDescent="0.25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35" t="s">
        <v>261</v>
      </c>
      <c r="O77" s="35"/>
      <c r="P77" s="35"/>
      <c r="Q77" s="71"/>
      <c r="R77" s="71"/>
      <c r="S77" s="71"/>
      <c r="T77" s="71"/>
      <c r="U77" s="71"/>
    </row>
    <row r="78" spans="1:21" x14ac:dyDescent="0.25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35" t="s">
        <v>262</v>
      </c>
      <c r="O78" s="35"/>
      <c r="P78" s="35"/>
      <c r="Q78" s="71"/>
      <c r="R78" s="71"/>
      <c r="S78" s="71"/>
      <c r="T78" s="71"/>
      <c r="U78" s="71"/>
    </row>
    <row r="79" spans="1:21" x14ac:dyDescent="0.25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35" t="s">
        <v>263</v>
      </c>
      <c r="O79" s="35"/>
      <c r="P79" s="35"/>
      <c r="Q79" s="71"/>
      <c r="R79" s="71"/>
      <c r="S79" s="71"/>
      <c r="T79" s="71"/>
      <c r="U79" s="71"/>
    </row>
    <row r="80" spans="1:21" x14ac:dyDescent="0.25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35" t="s">
        <v>264</v>
      </c>
      <c r="O80" s="35"/>
      <c r="P80" s="35"/>
      <c r="Q80" s="71"/>
      <c r="R80" s="71"/>
      <c r="S80" s="71"/>
      <c r="T80" s="71"/>
      <c r="U80" s="71"/>
    </row>
    <row r="81" spans="1:21" x14ac:dyDescent="0.2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35" t="s">
        <v>265</v>
      </c>
      <c r="O81" s="35"/>
      <c r="P81" s="35"/>
      <c r="Q81" s="71"/>
      <c r="R81" s="71"/>
      <c r="S81" s="71"/>
      <c r="T81" s="71"/>
      <c r="U81" s="71"/>
    </row>
    <row r="82" spans="1:21" x14ac:dyDescent="0.25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35" t="s">
        <v>266</v>
      </c>
      <c r="O82" s="35"/>
      <c r="P82" s="35"/>
      <c r="Q82" s="71" t="str">
        <f>IF(Q68="Excluir",IF(Q81="","Explicar exclusión","Excluido"),IF(Q68&lt;&gt;"Incluir","Pendiente",IF(OR(B14="",Q69="",Q70="",Q76="",Q77="",Q78="",Q79="",Q80="",Q81=""),"Completar fuentes y ajustes",IF(OR(NOT(ISNUMBER(Q71)),NOT(ISNUMBER(Q72))),"Faltan fechas",IF(OR(Q71&lt;=0,Q72&lt;=0,Q71&gt;'2. Antecedentes'!$E$25,Q72&gt;'2. Antecedentes'!$Q$10),"Revisar fechas",IF(OR($Q$8="",Q73&lt;&gt;$Q$8),"No mezclar tipos de precio",IF(OR(AND(Q11="Incluir",OR(Q12=Q69,Q13=Q70)),AND(Q30="Incluir",OR(Q31=Q69,Q32=Q70)),AND(Q49="Incluir",OR(Q50=Q69,Q51=Q70)),AND(Q87="Incluir",OR(Q88=Q69,Q89=Q70))),"Fuente duplicada",IF(OR(NOT(ISNUMBER(D14)),D14&lt;=0,NOT(ISNUMBER(Q75)),Q75&lt;=0),"Falta precio o superficie",IF(AND(Q74&lt;&gt;"MXN",Q74&lt;&gt;"USD"),"Falta moneda",IF(AND(Q74="USD",OR(NOT(ISNUMBER('2. Antecedentes'!$Q$16)),'2. Antecedentes'!$Q$16&lt;=0,NOT(ISNUMBER('2. Antecedentes'!$Q$17)),'2. Antecedentes'!$Q$17&lt;=0,'2. Antecedentes'!$Q$17&gt;'2. Antecedentes'!$Q$10,'2. Antecedentes'!$Q$18="")),"Falta conversión USD",IF(OR(COUNT(G14:J14)&lt;&gt;4,MIN(G14:J14)&lt;=0),"Completar factores","Incluido")))))))))))</f>
        <v>Pendiente</v>
      </c>
      <c r="R82" s="71"/>
      <c r="S82" s="71"/>
      <c r="T82" s="71"/>
      <c r="U82" s="71"/>
    </row>
    <row r="83" spans="1:21" x14ac:dyDescent="0.25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4"/>
      <c r="O83" s="24"/>
      <c r="P83" s="24"/>
      <c r="Q83" s="24"/>
      <c r="R83" s="24"/>
      <c r="S83" s="24"/>
      <c r="T83" s="24"/>
      <c r="U83" s="24"/>
    </row>
    <row r="84" spans="1:21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4"/>
      <c r="O84" s="24"/>
      <c r="P84" s="24"/>
      <c r="Q84" s="24"/>
      <c r="R84" s="24"/>
      <c r="S84" s="24"/>
      <c r="T84" s="24"/>
      <c r="U84" s="24"/>
    </row>
    <row r="85" spans="1:21" x14ac:dyDescent="0.2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4"/>
      <c r="O85" s="24"/>
      <c r="P85" s="24"/>
      <c r="Q85" s="24"/>
      <c r="R85" s="24"/>
      <c r="S85" s="24"/>
      <c r="T85" s="24"/>
      <c r="U85" s="24"/>
    </row>
    <row r="86" spans="1:21" x14ac:dyDescent="0.25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9" t="s">
        <v>329</v>
      </c>
      <c r="O86" s="29"/>
      <c r="P86" s="29"/>
      <c r="Q86" s="29"/>
      <c r="R86" s="29"/>
      <c r="S86" s="29"/>
      <c r="T86" s="29"/>
      <c r="U86" s="29"/>
    </row>
    <row r="87" spans="1:21" x14ac:dyDescent="0.25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35" t="s">
        <v>252</v>
      </c>
      <c r="O87" s="35"/>
      <c r="P87" s="35"/>
      <c r="Q87" s="71" t="s">
        <v>228</v>
      </c>
      <c r="R87" s="71"/>
      <c r="S87" s="71"/>
      <c r="T87" s="71"/>
      <c r="U87" s="71"/>
    </row>
    <row r="88" spans="1:21" x14ac:dyDescent="0.25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35" t="s">
        <v>253</v>
      </c>
      <c r="O88" s="35"/>
      <c r="P88" s="35"/>
      <c r="Q88" s="71"/>
      <c r="R88" s="71"/>
      <c r="S88" s="71"/>
      <c r="T88" s="71"/>
      <c r="U88" s="71"/>
    </row>
    <row r="89" spans="1:21" x14ac:dyDescent="0.25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35" t="s">
        <v>254</v>
      </c>
      <c r="O89" s="35"/>
      <c r="P89" s="35"/>
      <c r="Q89" s="71"/>
      <c r="R89" s="71"/>
      <c r="S89" s="71"/>
      <c r="T89" s="71"/>
      <c r="U89" s="71"/>
    </row>
    <row r="90" spans="1:21" x14ac:dyDescent="0.25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35" t="s">
        <v>255</v>
      </c>
      <c r="O90" s="35"/>
      <c r="P90" s="35"/>
      <c r="Q90" s="76"/>
      <c r="R90" s="76"/>
      <c r="S90" s="76"/>
      <c r="T90" s="76"/>
      <c r="U90" s="76"/>
    </row>
    <row r="91" spans="1:21" x14ac:dyDescent="0.25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35" t="s">
        <v>256</v>
      </c>
      <c r="O91" s="35"/>
      <c r="P91" s="35"/>
      <c r="Q91" s="76"/>
      <c r="R91" s="76"/>
      <c r="S91" s="76"/>
      <c r="T91" s="76"/>
      <c r="U91" s="76"/>
    </row>
    <row r="92" spans="1:21" x14ac:dyDescent="0.25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35" t="s">
        <v>257</v>
      </c>
      <c r="O92" s="35"/>
      <c r="P92" s="35"/>
      <c r="Q92" s="71"/>
      <c r="R92" s="71"/>
      <c r="S92" s="71"/>
      <c r="T92" s="71"/>
      <c r="U92" s="71"/>
    </row>
    <row r="93" spans="1:21" x14ac:dyDescent="0.25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35" t="s">
        <v>60</v>
      </c>
      <c r="O93" s="35"/>
      <c r="P93" s="35"/>
      <c r="Q93" s="71"/>
      <c r="R93" s="71"/>
      <c r="S93" s="71"/>
      <c r="T93" s="71"/>
      <c r="U93" s="71"/>
    </row>
    <row r="94" spans="1:21" x14ac:dyDescent="0.25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35" t="s">
        <v>258</v>
      </c>
      <c r="O94" s="35"/>
      <c r="P94" s="35"/>
      <c r="Q94" s="137"/>
      <c r="R94" s="137"/>
      <c r="S94" s="137"/>
      <c r="T94" s="137"/>
      <c r="U94" s="137"/>
    </row>
    <row r="95" spans="1:21" x14ac:dyDescent="0.2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35" t="s">
        <v>259</v>
      </c>
      <c r="O95" s="35"/>
      <c r="P95" s="35"/>
      <c r="Q95" s="71"/>
      <c r="R95" s="71"/>
      <c r="S95" s="71"/>
      <c r="T95" s="71"/>
      <c r="U95" s="71"/>
    </row>
    <row r="96" spans="1:21" x14ac:dyDescent="0.25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35" t="s">
        <v>261</v>
      </c>
      <c r="O96" s="35"/>
      <c r="P96" s="35"/>
      <c r="Q96" s="71"/>
      <c r="R96" s="71"/>
      <c r="S96" s="71"/>
      <c r="T96" s="71"/>
      <c r="U96" s="71"/>
    </row>
    <row r="97" spans="1:21" x14ac:dyDescent="0.25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35" t="s">
        <v>262</v>
      </c>
      <c r="O97" s="35"/>
      <c r="P97" s="35"/>
      <c r="Q97" s="71"/>
      <c r="R97" s="71"/>
      <c r="S97" s="71"/>
      <c r="T97" s="71"/>
      <c r="U97" s="71"/>
    </row>
    <row r="98" spans="1:21" x14ac:dyDescent="0.25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35" t="s">
        <v>263</v>
      </c>
      <c r="O98" s="35"/>
      <c r="P98" s="35"/>
      <c r="Q98" s="71"/>
      <c r="R98" s="71"/>
      <c r="S98" s="71"/>
      <c r="T98" s="71"/>
      <c r="U98" s="71"/>
    </row>
    <row r="99" spans="1:21" x14ac:dyDescent="0.25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35" t="s">
        <v>264</v>
      </c>
      <c r="O99" s="35"/>
      <c r="P99" s="35"/>
      <c r="Q99" s="71"/>
      <c r="R99" s="71"/>
      <c r="S99" s="71"/>
      <c r="T99" s="71"/>
      <c r="U99" s="71"/>
    </row>
    <row r="100" spans="1:21" x14ac:dyDescent="0.25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35" t="s">
        <v>265</v>
      </c>
      <c r="O100" s="35"/>
      <c r="P100" s="35"/>
      <c r="Q100" s="71"/>
      <c r="R100" s="71"/>
      <c r="S100" s="71"/>
      <c r="T100" s="71"/>
      <c r="U100" s="71"/>
    </row>
    <row r="101" spans="1:21" x14ac:dyDescent="0.25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35" t="s">
        <v>266</v>
      </c>
      <c r="O101" s="35"/>
      <c r="P101" s="35"/>
      <c r="Q101" s="71" t="str">
        <f>IF(Q87="Excluir",IF(Q100="","Explicar exclusión","Excluido"),IF(Q87&lt;&gt;"Incluir","Pendiente",IF(OR(B15="",Q88="",Q89="",Q95="",Q96="",Q97="",Q98="",Q99="",Q100=""),"Completar fuentes y ajustes",IF(OR(NOT(ISNUMBER(Q90)),NOT(ISNUMBER(Q91))),"Faltan fechas",IF(OR(Q90&lt;=0,Q91&lt;=0,Q90&gt;'2. Antecedentes'!$E$25,Q91&gt;'2. Antecedentes'!$Q$10),"Revisar fechas",IF(OR($Q$8="",Q92&lt;&gt;$Q$8),"No mezclar tipos de precio",IF(OR(AND(Q11="Incluir",OR(Q12=Q88,Q13=Q89)),AND(Q30="Incluir",OR(Q31=Q88,Q32=Q89)),AND(Q49="Incluir",OR(Q50=Q88,Q51=Q89)),AND(Q68="Incluir",OR(Q69=Q88,Q70=Q89))),"Fuente duplicada",IF(OR(NOT(ISNUMBER(D15)),D15&lt;=0,NOT(ISNUMBER(Q94)),Q94&lt;=0),"Falta precio o superficie",IF(AND(Q93&lt;&gt;"MXN",Q93&lt;&gt;"USD"),"Falta moneda",IF(AND(Q93="USD",OR(NOT(ISNUMBER('2. Antecedentes'!$Q$16)),'2. Antecedentes'!$Q$16&lt;=0,NOT(ISNUMBER('2. Antecedentes'!$Q$17)),'2. Antecedentes'!$Q$17&lt;=0,'2. Antecedentes'!$Q$17&gt;'2. Antecedentes'!$Q$10,'2. Antecedentes'!$Q$18="")),"Falta conversión USD",IF(OR(COUNT(G15:J15)&lt;&gt;4,MIN(G15:J15)&lt;=0),"Completar factores","Incluido")))))))))))</f>
        <v>Pendiente</v>
      </c>
      <c r="R101" s="71"/>
      <c r="S101" s="71"/>
      <c r="T101" s="71"/>
      <c r="U101" s="71"/>
    </row>
    <row r="102" spans="1:21" x14ac:dyDescent="0.25">
      <c r="N102" s="2"/>
      <c r="O102" s="2"/>
      <c r="P102" s="2"/>
      <c r="Q102" s="2"/>
      <c r="R102" s="2"/>
      <c r="S102" s="2"/>
      <c r="T102" s="2"/>
      <c r="U102" s="2"/>
    </row>
    <row r="103" spans="1:21" x14ac:dyDescent="0.25">
      <c r="N103" s="2"/>
      <c r="O103" s="2"/>
      <c r="P103" s="2"/>
      <c r="Q103" s="2"/>
      <c r="R103" s="2"/>
      <c r="S103" s="2"/>
      <c r="T103" s="2"/>
      <c r="U103" s="2"/>
    </row>
    <row r="104" spans="1:21" x14ac:dyDescent="0.25">
      <c r="N104" s="2"/>
      <c r="O104" s="2"/>
      <c r="P104" s="2"/>
      <c r="Q104" s="2"/>
      <c r="R104" s="2"/>
      <c r="S104" s="2"/>
      <c r="T104" s="2"/>
      <c r="U104" s="2"/>
    </row>
    <row r="105" spans="1:21" x14ac:dyDescent="0.25">
      <c r="N105" s="2"/>
      <c r="O105" s="2"/>
      <c r="P105" s="2"/>
      <c r="Q105" s="2"/>
      <c r="R105" s="2"/>
      <c r="S105" s="2"/>
      <c r="T105" s="2"/>
      <c r="U105" s="2"/>
    </row>
    <row r="106" spans="1:21" x14ac:dyDescent="0.25">
      <c r="N106" s="2"/>
      <c r="O106" s="2"/>
      <c r="P106" s="2"/>
      <c r="Q106" s="2"/>
      <c r="R106" s="2"/>
      <c r="S106" s="2"/>
      <c r="T106" s="2"/>
      <c r="U106" s="2"/>
    </row>
    <row r="107" spans="1:21" x14ac:dyDescent="0.25">
      <c r="N107" s="2"/>
      <c r="O107" s="2"/>
      <c r="P107" s="2"/>
      <c r="Q107" s="2"/>
      <c r="R107" s="2"/>
      <c r="S107" s="2"/>
      <c r="T107" s="2"/>
      <c r="U107" s="2"/>
    </row>
    <row r="108" spans="1:21" x14ac:dyDescent="0.25">
      <c r="N108" s="2"/>
      <c r="O108" s="2"/>
      <c r="P108" s="2"/>
      <c r="Q108" s="2"/>
      <c r="R108" s="2"/>
      <c r="S108" s="2"/>
      <c r="T108" s="2"/>
      <c r="U108" s="2"/>
    </row>
    <row r="109" spans="1:21" x14ac:dyDescent="0.25">
      <c r="N109" s="2"/>
      <c r="O109" s="2"/>
      <c r="P109" s="2"/>
      <c r="Q109" s="2"/>
      <c r="R109" s="2"/>
      <c r="S109" s="2"/>
      <c r="T109" s="2"/>
      <c r="U109" s="2"/>
    </row>
    <row r="110" spans="1:21" x14ac:dyDescent="0.25">
      <c r="N110" s="2"/>
      <c r="O110" s="2"/>
      <c r="P110" s="2"/>
      <c r="Q110" s="2"/>
      <c r="R110" s="2"/>
      <c r="S110" s="2"/>
      <c r="T110" s="2"/>
      <c r="U110" s="2"/>
    </row>
    <row r="111" spans="1:21" x14ac:dyDescent="0.25">
      <c r="N111" s="2"/>
      <c r="O111" s="2"/>
      <c r="P111" s="2"/>
      <c r="Q111" s="2"/>
      <c r="R111" s="2"/>
      <c r="S111" s="2"/>
      <c r="T111" s="2"/>
      <c r="U111" s="2"/>
    </row>
    <row r="112" spans="1:21" x14ac:dyDescent="0.25">
      <c r="N112" s="2"/>
      <c r="O112" s="2"/>
      <c r="P112" s="2"/>
      <c r="Q112" s="2"/>
      <c r="R112" s="2"/>
      <c r="S112" s="2"/>
      <c r="T112" s="2"/>
      <c r="U112" s="2"/>
    </row>
    <row r="113" spans="14:21" x14ac:dyDescent="0.25">
      <c r="N113" s="2"/>
      <c r="O113" s="2"/>
      <c r="P113" s="2"/>
      <c r="Q113" s="2"/>
      <c r="R113" s="2"/>
      <c r="S113" s="2"/>
      <c r="T113" s="2"/>
      <c r="U113" s="2"/>
    </row>
    <row r="114" spans="14:21" x14ac:dyDescent="0.25">
      <c r="N114" s="2"/>
      <c r="O114" s="2"/>
      <c r="P114" s="2"/>
      <c r="Q114" s="2"/>
      <c r="R114" s="2"/>
      <c r="S114" s="2"/>
      <c r="T114" s="2"/>
      <c r="U114" s="2"/>
    </row>
    <row r="115" spans="14:21" x14ac:dyDescent="0.25">
      <c r="N115" s="2"/>
      <c r="O115" s="2"/>
      <c r="P115" s="2"/>
      <c r="Q115" s="2"/>
      <c r="R115" s="2"/>
      <c r="S115" s="2"/>
      <c r="T115" s="2"/>
      <c r="U115" s="2"/>
    </row>
  </sheetData>
  <mergeCells count="212">
    <mergeCell ref="A20:C20"/>
    <mergeCell ref="D20:F20"/>
    <mergeCell ref="G20:I20"/>
    <mergeCell ref="J20:L20"/>
    <mergeCell ref="A21:I21"/>
    <mergeCell ref="J21:L21"/>
    <mergeCell ref="A23:L23"/>
    <mergeCell ref="A24:L29"/>
    <mergeCell ref="A31:L31"/>
    <mergeCell ref="B12:C12"/>
    <mergeCell ref="B13:C13"/>
    <mergeCell ref="B14:C14"/>
    <mergeCell ref="A16:K16"/>
    <mergeCell ref="A18:L18"/>
    <mergeCell ref="B15:C15"/>
    <mergeCell ref="A19:C19"/>
    <mergeCell ref="D19:F19"/>
    <mergeCell ref="G19:I19"/>
    <mergeCell ref="J19:L19"/>
    <mergeCell ref="N7:U7"/>
    <mergeCell ref="N8:P8"/>
    <mergeCell ref="Q8:U8"/>
    <mergeCell ref="N10:U10"/>
    <mergeCell ref="N11:P11"/>
    <mergeCell ref="Q11:U11"/>
    <mergeCell ref="C2:H2"/>
    <mergeCell ref="I2:L3"/>
    <mergeCell ref="C3:H3"/>
    <mergeCell ref="A5:L5"/>
    <mergeCell ref="A7:L7"/>
    <mergeCell ref="A8:L8"/>
    <mergeCell ref="A9:L9"/>
    <mergeCell ref="B10:C10"/>
    <mergeCell ref="B11:C11"/>
    <mergeCell ref="N15:P15"/>
    <mergeCell ref="Q15:U15"/>
    <mergeCell ref="N16:P16"/>
    <mergeCell ref="Q16:U16"/>
    <mergeCell ref="N17:P17"/>
    <mergeCell ref="Q17:U17"/>
    <mergeCell ref="N12:P12"/>
    <mergeCell ref="Q12:U12"/>
    <mergeCell ref="N13:P13"/>
    <mergeCell ref="Q13:U13"/>
    <mergeCell ref="N14:P14"/>
    <mergeCell ref="Q14:U14"/>
    <mergeCell ref="N21:P21"/>
    <mergeCell ref="Q21:U21"/>
    <mergeCell ref="N22:P22"/>
    <mergeCell ref="Q22:U22"/>
    <mergeCell ref="N23:P23"/>
    <mergeCell ref="Q23:U23"/>
    <mergeCell ref="N18:P18"/>
    <mergeCell ref="Q18:U18"/>
    <mergeCell ref="N19:P19"/>
    <mergeCell ref="Q19:U19"/>
    <mergeCell ref="N20:P20"/>
    <mergeCell ref="Q20:U20"/>
    <mergeCell ref="N30:P30"/>
    <mergeCell ref="Q30:U30"/>
    <mergeCell ref="N31:P31"/>
    <mergeCell ref="Q31:U31"/>
    <mergeCell ref="N32:P32"/>
    <mergeCell ref="Q32:U32"/>
    <mergeCell ref="N24:P24"/>
    <mergeCell ref="Q24:U24"/>
    <mergeCell ref="N25:P25"/>
    <mergeCell ref="Q25:U25"/>
    <mergeCell ref="N29:U29"/>
    <mergeCell ref="N36:P36"/>
    <mergeCell ref="Q36:U36"/>
    <mergeCell ref="N37:P37"/>
    <mergeCell ref="Q37:U37"/>
    <mergeCell ref="N38:P38"/>
    <mergeCell ref="Q38:U38"/>
    <mergeCell ref="N33:P33"/>
    <mergeCell ref="Q33:U33"/>
    <mergeCell ref="N34:P34"/>
    <mergeCell ref="Q34:U34"/>
    <mergeCell ref="N35:P35"/>
    <mergeCell ref="Q35:U35"/>
    <mergeCell ref="N42:P42"/>
    <mergeCell ref="Q42:U42"/>
    <mergeCell ref="N43:P43"/>
    <mergeCell ref="Q43:U43"/>
    <mergeCell ref="N44:P44"/>
    <mergeCell ref="Q44:U44"/>
    <mergeCell ref="N39:P39"/>
    <mergeCell ref="Q39:U39"/>
    <mergeCell ref="N40:P40"/>
    <mergeCell ref="Q40:U40"/>
    <mergeCell ref="N41:P41"/>
    <mergeCell ref="Q41:U41"/>
    <mergeCell ref="N51:P51"/>
    <mergeCell ref="Q51:U51"/>
    <mergeCell ref="N52:P52"/>
    <mergeCell ref="Q52:U52"/>
    <mergeCell ref="N53:P53"/>
    <mergeCell ref="Q53:U53"/>
    <mergeCell ref="N48:U48"/>
    <mergeCell ref="N49:P49"/>
    <mergeCell ref="Q49:U49"/>
    <mergeCell ref="N50:P50"/>
    <mergeCell ref="Q50:U50"/>
    <mergeCell ref="N57:P57"/>
    <mergeCell ref="Q57:U57"/>
    <mergeCell ref="N58:P58"/>
    <mergeCell ref="Q58:U58"/>
    <mergeCell ref="N59:P59"/>
    <mergeCell ref="Q59:U59"/>
    <mergeCell ref="N54:P54"/>
    <mergeCell ref="Q54:U54"/>
    <mergeCell ref="N55:P55"/>
    <mergeCell ref="Q55:U55"/>
    <mergeCell ref="N56:P56"/>
    <mergeCell ref="Q56:U56"/>
    <mergeCell ref="N63:P63"/>
    <mergeCell ref="Q63:U63"/>
    <mergeCell ref="N67:U67"/>
    <mergeCell ref="N68:P68"/>
    <mergeCell ref="Q68:U68"/>
    <mergeCell ref="N60:P60"/>
    <mergeCell ref="Q60:U60"/>
    <mergeCell ref="N61:P61"/>
    <mergeCell ref="Q61:U61"/>
    <mergeCell ref="N62:P62"/>
    <mergeCell ref="Q62:U62"/>
    <mergeCell ref="N72:P72"/>
    <mergeCell ref="Q72:U72"/>
    <mergeCell ref="N73:P73"/>
    <mergeCell ref="Q73:U73"/>
    <mergeCell ref="N74:P74"/>
    <mergeCell ref="Q74:U74"/>
    <mergeCell ref="N69:P69"/>
    <mergeCell ref="Q69:U69"/>
    <mergeCell ref="N70:P70"/>
    <mergeCell ref="Q70:U70"/>
    <mergeCell ref="N71:P71"/>
    <mergeCell ref="Q71:U71"/>
    <mergeCell ref="N78:P78"/>
    <mergeCell ref="Q78:U78"/>
    <mergeCell ref="N79:P79"/>
    <mergeCell ref="Q79:U79"/>
    <mergeCell ref="N80:P80"/>
    <mergeCell ref="Q80:U80"/>
    <mergeCell ref="N75:P75"/>
    <mergeCell ref="Q75:U75"/>
    <mergeCell ref="N76:P76"/>
    <mergeCell ref="Q76:U76"/>
    <mergeCell ref="N77:P77"/>
    <mergeCell ref="Q77:U77"/>
    <mergeCell ref="N87:P87"/>
    <mergeCell ref="Q87:U87"/>
    <mergeCell ref="N88:P88"/>
    <mergeCell ref="Q88:U88"/>
    <mergeCell ref="N89:P89"/>
    <mergeCell ref="Q89:U89"/>
    <mergeCell ref="N81:P81"/>
    <mergeCell ref="Q81:U81"/>
    <mergeCell ref="N82:P82"/>
    <mergeCell ref="Q82:U82"/>
    <mergeCell ref="N86:U86"/>
    <mergeCell ref="N93:P93"/>
    <mergeCell ref="Q93:U93"/>
    <mergeCell ref="N94:P94"/>
    <mergeCell ref="Q94:U94"/>
    <mergeCell ref="N95:P95"/>
    <mergeCell ref="Q95:U95"/>
    <mergeCell ref="N90:P90"/>
    <mergeCell ref="Q90:U90"/>
    <mergeCell ref="N91:P91"/>
    <mergeCell ref="Q91:U91"/>
    <mergeCell ref="N92:P92"/>
    <mergeCell ref="Q92:U92"/>
    <mergeCell ref="N99:P99"/>
    <mergeCell ref="Q99:U99"/>
    <mergeCell ref="N100:P100"/>
    <mergeCell ref="Q100:U100"/>
    <mergeCell ref="N101:P101"/>
    <mergeCell ref="Q101:U101"/>
    <mergeCell ref="N96:P96"/>
    <mergeCell ref="Q96:U96"/>
    <mergeCell ref="N97:P97"/>
    <mergeCell ref="Q97:U97"/>
    <mergeCell ref="N98:P98"/>
    <mergeCell ref="Q98:U98"/>
    <mergeCell ref="A35:B35"/>
    <mergeCell ref="C35:H35"/>
    <mergeCell ref="I35:J35"/>
    <mergeCell ref="K35:L35"/>
    <mergeCell ref="A36:B36"/>
    <mergeCell ref="C36:H36"/>
    <mergeCell ref="I36:J36"/>
    <mergeCell ref="K36:L36"/>
    <mergeCell ref="A33:L33"/>
    <mergeCell ref="A34:B34"/>
    <mergeCell ref="C34:H34"/>
    <mergeCell ref="I34:J34"/>
    <mergeCell ref="K34:L34"/>
    <mergeCell ref="A39:B39"/>
    <mergeCell ref="C39:H39"/>
    <mergeCell ref="I39:J39"/>
    <mergeCell ref="K39:L39"/>
    <mergeCell ref="A41:L41"/>
    <mergeCell ref="A37:B37"/>
    <mergeCell ref="C37:H37"/>
    <mergeCell ref="I37:J37"/>
    <mergeCell ref="K37:L37"/>
    <mergeCell ref="A38:B38"/>
    <mergeCell ref="C38:H38"/>
    <mergeCell ref="I38:J38"/>
    <mergeCell ref="K38:L38"/>
  </mergeCells>
  <conditionalFormatting sqref="Q25">
    <cfRule type="expression" dxfId="17" priority="1">
      <formula>AND(Q25&lt;&gt;"",Q25&lt;&gt;"Incluido",Q25&lt;&gt;"Revisada",Q25&lt;&gt;"Bases completas",Q25&lt;&gt;"Excluido")</formula>
    </cfRule>
  </conditionalFormatting>
  <conditionalFormatting sqref="Q44">
    <cfRule type="expression" dxfId="16" priority="2">
      <formula>AND(Q44&lt;&gt;"",Q44&lt;&gt;"Incluido",Q44&lt;&gt;"Revisada",Q44&lt;&gt;"Bases completas",Q44&lt;&gt;"Excluido")</formula>
    </cfRule>
  </conditionalFormatting>
  <conditionalFormatting sqref="Q63">
    <cfRule type="expression" dxfId="15" priority="3">
      <formula>AND(Q63&lt;&gt;"",Q63&lt;&gt;"Incluido",Q63&lt;&gt;"Revisada",Q63&lt;&gt;"Bases completas",Q63&lt;&gt;"Excluido")</formula>
    </cfRule>
  </conditionalFormatting>
  <conditionalFormatting sqref="Q82">
    <cfRule type="expression" dxfId="14" priority="4">
      <formula>AND(Q82&lt;&gt;"",Q82&lt;&gt;"Incluido",Q82&lt;&gt;"Revisada",Q82&lt;&gt;"Bases completas",Q82&lt;&gt;"Excluido")</formula>
    </cfRule>
  </conditionalFormatting>
  <conditionalFormatting sqref="Q101">
    <cfRule type="expression" dxfId="13" priority="5">
      <formula>AND(Q101&lt;&gt;"",Q101&lt;&gt;"Incluido",Q101&lt;&gt;"Revisada",Q101&lt;&gt;"Bases completas",Q101&lt;&gt;"Excluido")</formula>
    </cfRule>
  </conditionalFormatting>
  <dataValidations count="3">
    <dataValidation type="list" sqref="Q8 Q92 Q73 Q54 Q35 Q16" xr:uid="{00000000-0002-0000-0600-000000000000}">
      <formula1>"Oferta,Cierre"</formula1>
    </dataValidation>
    <dataValidation type="list" sqref="Q11 Q87 Q68 Q49 Q30" xr:uid="{00000000-0002-0000-0600-000001000000}">
      <formula1>"Pendiente,Incluir,Excluir"</formula1>
    </dataValidation>
    <dataValidation type="list" sqref="Q17 Q93 Q74 Q55 Q36" xr:uid="{00000000-0002-0000-0600-000003000000}">
      <formula1>"MXN,USD"</formula1>
    </dataValidation>
  </dataValidations>
  <hyperlinks>
    <hyperlink ref="N5" location="'Índice'!N7" tooltip="Abrir guía de uso" display="GUÍA DE USO" xr:uid="{3CA59F4F-D142-406B-9A3E-CC28666AE5F1}"/>
    <hyperlink ref="N6" location="'5. Comp. Terreno'!A1" tooltip="Volver al informe" display="VOLVER AL INFORME" xr:uid="{060E0194-721B-4D82-9397-0DDB8CC9D873}"/>
    <hyperlink ref="A31" location="'5. Comp. Terreno'!N7" display="'5. Comp. Terreno'!N7" xr:uid="{E15FDBC6-0CD7-462F-B0BC-362DAC011B38}"/>
    <hyperlink ref="A11" location="'5. Comp. Terreno'!N10" display="'5. Comp. Terreno'!N10" xr:uid="{D6F996BC-7837-4800-A487-6B0BAA0A2ACC}"/>
    <hyperlink ref="A12" location="'5. Comp. Terreno'!N29" display="'5. Comp. Terreno'!N29" xr:uid="{2FB0C118-229B-4017-AA7D-11867CF2C549}"/>
    <hyperlink ref="A13" location="'5. Comp. Terreno'!N48" display="'5. Comp. Terreno'!N48" xr:uid="{3D7E1635-5FFA-465A-8BB7-67EFA306A56B}"/>
    <hyperlink ref="A14" location="'5. Comp. Terreno'!N67" display="'5. Comp. Terreno'!N67" xr:uid="{79B154FF-81A1-4133-B10D-2E110C4EC923}"/>
    <hyperlink ref="A15" location="'5. Comp. Terreno'!N86" display="'5. Comp. Terreno'!N86" xr:uid="{17FCAD68-89EA-413F-A497-048BCC786F44}"/>
  </hyperlinks>
  <printOptions horizontalCentered="1"/>
  <pageMargins left="0.28000000000000003" right="0.28000000000000003" top="0.4" bottom="0.5" header="0.25" footer="0.25"/>
  <pageSetup scale="93" orientation="portrait" r:id="rId1"/>
  <headerFooter>
    <oddFooter>&amp;C&amp;"Arial"&amp;8&amp;K6B7280&amp;P/&amp;F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F6B4E"/>
    <pageSetUpPr fitToPage="1"/>
  </sheetPr>
  <dimension ref="A1:U115"/>
  <sheetViews>
    <sheetView showGridLines="0" topLeftCell="A11" zoomScaleNormal="100" workbookViewId="0"/>
  </sheetViews>
  <sheetFormatPr baseColWidth="10" defaultColWidth="9.140625" defaultRowHeight="15" x14ac:dyDescent="0.25"/>
  <cols>
    <col min="1" max="12" width="9" customWidth="1"/>
    <col min="13" max="13" width="3" customWidth="1"/>
    <col min="14" max="21" width="18" customWidth="1"/>
  </cols>
  <sheetData>
    <row r="1" spans="1:2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N1" s="2"/>
      <c r="O1" s="2"/>
      <c r="P1" s="2"/>
      <c r="Q1" s="2"/>
      <c r="R1" s="2"/>
      <c r="S1" s="2"/>
      <c r="T1" s="2"/>
      <c r="U1" s="2"/>
    </row>
    <row r="2" spans="1:21" ht="18" customHeight="1" x14ac:dyDescent="0.25">
      <c r="A2" s="11"/>
      <c r="B2" s="11"/>
      <c r="C2" s="21"/>
      <c r="D2" s="21"/>
      <c r="E2" s="21"/>
      <c r="F2" s="21"/>
      <c r="G2" s="21"/>
      <c r="H2" s="21"/>
      <c r="I2" s="8" t="str">
        <f>"Opinión de valor comercial"&amp;IF('2. Antecedentes'!$Q$9&lt;&gt;"",CHAR(10)&amp;"Folio "&amp;'2. Antecedentes'!$Q$9,"")</f>
        <v>Opinión de valor comercial</v>
      </c>
      <c r="J2" s="22"/>
      <c r="K2" s="22"/>
      <c r="L2" s="22"/>
      <c r="M2" s="23"/>
      <c r="N2" s="24"/>
      <c r="O2" s="24"/>
      <c r="P2" s="24"/>
      <c r="Q2" s="24"/>
      <c r="R2" s="24"/>
      <c r="S2" s="24"/>
      <c r="T2" s="24"/>
      <c r="U2" s="24"/>
    </row>
    <row r="3" spans="1:21" ht="12" customHeight="1" x14ac:dyDescent="0.25">
      <c r="A3" s="11"/>
      <c r="B3" s="11"/>
      <c r="C3" s="25"/>
      <c r="D3" s="25"/>
      <c r="E3" s="25"/>
      <c r="F3" s="25"/>
      <c r="G3" s="25"/>
      <c r="H3" s="25"/>
      <c r="I3" s="22"/>
      <c r="J3" s="22"/>
      <c r="K3" s="22"/>
      <c r="L3" s="22"/>
      <c r="M3" s="23"/>
      <c r="N3" s="24"/>
      <c r="O3" s="24"/>
      <c r="P3" s="24"/>
      <c r="Q3" s="24"/>
      <c r="R3" s="24"/>
      <c r="S3" s="24"/>
      <c r="T3" s="24"/>
      <c r="U3" s="24"/>
    </row>
    <row r="4" spans="1:21" ht="8.1" customHeight="1" thickBot="1" x14ac:dyDescent="0.3">
      <c r="A4" s="350"/>
      <c r="B4" s="350"/>
      <c r="C4" s="350"/>
      <c r="D4" s="26"/>
      <c r="E4" s="26"/>
      <c r="F4" s="26"/>
      <c r="G4" s="26"/>
      <c r="H4" s="26"/>
      <c r="I4" s="26"/>
      <c r="J4" s="26"/>
      <c r="K4" s="26"/>
      <c r="L4" s="26"/>
      <c r="M4" s="23"/>
      <c r="N4" s="24"/>
      <c r="O4" s="24"/>
      <c r="P4" s="24"/>
      <c r="Q4" s="24"/>
      <c r="R4" s="24"/>
      <c r="S4" s="24"/>
      <c r="T4" s="24"/>
      <c r="U4" s="24"/>
    </row>
    <row r="5" spans="1:21" ht="3" customHeight="1" x14ac:dyDescent="0.2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3"/>
      <c r="N5" s="68"/>
      <c r="O5" s="24"/>
      <c r="P5" s="24"/>
      <c r="Q5" s="24"/>
      <c r="R5" s="24"/>
      <c r="S5" s="24"/>
      <c r="T5" s="24"/>
      <c r="U5" s="24"/>
    </row>
    <row r="6" spans="1:21" ht="6.95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23"/>
      <c r="N6" s="68"/>
      <c r="O6" s="24"/>
      <c r="P6" s="24"/>
      <c r="Q6" s="24"/>
      <c r="R6" s="24"/>
      <c r="S6" s="24"/>
      <c r="T6" s="24"/>
      <c r="U6" s="24"/>
    </row>
    <row r="7" spans="1:21" ht="21.95" customHeight="1" x14ac:dyDescent="0.25">
      <c r="A7" s="28" t="s">
        <v>323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3"/>
      <c r="N7" s="29" t="s">
        <v>324</v>
      </c>
      <c r="O7" s="29"/>
      <c r="P7" s="29"/>
      <c r="Q7" s="29"/>
      <c r="R7" s="29"/>
      <c r="S7" s="29"/>
      <c r="T7" s="29"/>
      <c r="U7" s="29"/>
    </row>
    <row r="8" spans="1:21" ht="14.1" customHeight="1" x14ac:dyDescent="0.25">
      <c r="A8" s="310" t="s">
        <v>275</v>
      </c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23"/>
      <c r="N8" s="35" t="s">
        <v>249</v>
      </c>
      <c r="O8" s="35"/>
      <c r="P8" s="35"/>
      <c r="Q8" s="71"/>
      <c r="R8" s="71"/>
      <c r="S8" s="71"/>
      <c r="T8" s="71"/>
      <c r="U8" s="71"/>
    </row>
    <row r="9" spans="1:21" ht="18" customHeight="1" x14ac:dyDescent="0.25">
      <c r="A9" s="293" t="s">
        <v>125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1"/>
      <c r="M9" s="23"/>
      <c r="N9" s="24"/>
      <c r="O9" s="24"/>
      <c r="P9" s="24"/>
      <c r="Q9" s="24"/>
      <c r="R9" s="24"/>
      <c r="S9" s="24"/>
      <c r="T9" s="24"/>
      <c r="U9" s="24"/>
    </row>
    <row r="10" spans="1:21" ht="33.950000000000003" customHeight="1" x14ac:dyDescent="0.25">
      <c r="A10" s="303" t="s">
        <v>126</v>
      </c>
      <c r="B10" s="147" t="s">
        <v>127</v>
      </c>
      <c r="C10" s="148"/>
      <c r="D10" s="111" t="s">
        <v>250</v>
      </c>
      <c r="E10" s="111" t="s">
        <v>251</v>
      </c>
      <c r="F10" s="111" t="s">
        <v>128</v>
      </c>
      <c r="G10" s="111" t="s">
        <v>129</v>
      </c>
      <c r="H10" s="111" t="s">
        <v>140</v>
      </c>
      <c r="I10" s="111" t="s">
        <v>131</v>
      </c>
      <c r="J10" s="111" t="s">
        <v>132</v>
      </c>
      <c r="K10" s="111" t="s">
        <v>133</v>
      </c>
      <c r="L10" s="111" t="s">
        <v>134</v>
      </c>
      <c r="M10" s="23"/>
      <c r="N10" s="29" t="s">
        <v>330</v>
      </c>
      <c r="O10" s="29"/>
      <c r="P10" s="29"/>
      <c r="Q10" s="29"/>
      <c r="R10" s="29"/>
      <c r="S10" s="29"/>
      <c r="T10" s="29"/>
      <c r="U10" s="29"/>
    </row>
    <row r="11" spans="1:21" ht="24.95" customHeight="1" x14ac:dyDescent="0.25">
      <c r="A11" s="119">
        <v>1</v>
      </c>
      <c r="B11" s="120"/>
      <c r="C11" s="120"/>
      <c r="D11" s="121"/>
      <c r="E11" s="122" t="str">
        <f>IF(AND(ISNUMBER(Q18),Q18&gt;0),Q18*IF(Q17="USD",'2. Antecedentes'!$Q$16,1),"")</f>
        <v/>
      </c>
      <c r="F11" s="123" t="str">
        <f>IF(ISNUMBER(E11),E11/D11,"")</f>
        <v/>
      </c>
      <c r="G11" s="124"/>
      <c r="H11" s="124"/>
      <c r="I11" s="124"/>
      <c r="J11" s="124"/>
      <c r="K11" s="125" t="str">
        <f>IF(ISNUMBER(E11),PRODUCT(G11:J11),"")</f>
        <v/>
      </c>
      <c r="L11" s="126" t="str">
        <f>IF(AND(ISNUMBER(F11),ISNUMBER(K11)),F11*K11,"")</f>
        <v/>
      </c>
      <c r="M11" s="23"/>
      <c r="N11" s="35" t="s">
        <v>252</v>
      </c>
      <c r="O11" s="35"/>
      <c r="P11" s="35"/>
      <c r="Q11" s="71" t="s">
        <v>228</v>
      </c>
      <c r="R11" s="71"/>
      <c r="S11" s="71"/>
      <c r="T11" s="71"/>
      <c r="U11" s="71"/>
    </row>
    <row r="12" spans="1:21" ht="24.95" customHeight="1" x14ac:dyDescent="0.25">
      <c r="A12" s="127">
        <v>2</v>
      </c>
      <c r="B12" s="120"/>
      <c r="C12" s="120"/>
      <c r="D12" s="121"/>
      <c r="E12" s="122" t="str">
        <f>IF(AND(ISNUMBER(Q37),Q37&gt;0),Q37*IF(Q36="USD",'2. Antecedentes'!$Q$16,1),"")</f>
        <v/>
      </c>
      <c r="F12" s="128" t="str">
        <f>IF(ISNUMBER(E12),E12/D12,"")</f>
        <v/>
      </c>
      <c r="G12" s="124"/>
      <c r="H12" s="124"/>
      <c r="I12" s="124"/>
      <c r="J12" s="124"/>
      <c r="K12" s="129" t="str">
        <f>IF(ISNUMBER(E12),PRODUCT(G12:J12),"")</f>
        <v/>
      </c>
      <c r="L12" s="130" t="str">
        <f>IF(AND(ISNUMBER(F12),ISNUMBER(K12)),F12*K12,"")</f>
        <v/>
      </c>
      <c r="M12" s="23"/>
      <c r="N12" s="35" t="s">
        <v>253</v>
      </c>
      <c r="O12" s="35"/>
      <c r="P12" s="35"/>
      <c r="Q12" s="71"/>
      <c r="R12" s="71"/>
      <c r="S12" s="71"/>
      <c r="T12" s="71"/>
      <c r="U12" s="71"/>
    </row>
    <row r="13" spans="1:21" ht="24.95" customHeight="1" x14ac:dyDescent="0.25">
      <c r="A13" s="119">
        <v>3</v>
      </c>
      <c r="B13" s="120"/>
      <c r="C13" s="120"/>
      <c r="D13" s="121"/>
      <c r="E13" s="122" t="str">
        <f>IF(AND(ISNUMBER(Q56),Q56&gt;0),Q56*IF(Q55="USD",'2. Antecedentes'!$Q$16,1),"")</f>
        <v/>
      </c>
      <c r="F13" s="123" t="str">
        <f>IF(ISNUMBER(E13),E13/D13,"")</f>
        <v/>
      </c>
      <c r="G13" s="124"/>
      <c r="H13" s="124"/>
      <c r="I13" s="124"/>
      <c r="J13" s="124"/>
      <c r="K13" s="125" t="str">
        <f>IF(ISNUMBER(E13),PRODUCT(G13:J13),"")</f>
        <v/>
      </c>
      <c r="L13" s="126" t="str">
        <f>IF(AND(ISNUMBER(F13),ISNUMBER(K13)),F13*K13,"")</f>
        <v/>
      </c>
      <c r="M13" s="23"/>
      <c r="N13" s="35" t="s">
        <v>254</v>
      </c>
      <c r="O13" s="35"/>
      <c r="P13" s="35"/>
      <c r="Q13" s="71"/>
      <c r="R13" s="71"/>
      <c r="S13" s="71"/>
      <c r="T13" s="71"/>
      <c r="U13" s="71"/>
    </row>
    <row r="14" spans="1:21" ht="24.95" customHeight="1" x14ac:dyDescent="0.25">
      <c r="A14" s="127">
        <v>4</v>
      </c>
      <c r="B14" s="120"/>
      <c r="C14" s="120"/>
      <c r="D14" s="121"/>
      <c r="E14" s="122" t="str">
        <f>IF(AND(ISNUMBER(Q75),Q75&gt;0),Q75*IF(Q74="USD",'2. Antecedentes'!$Q$16,1),"")</f>
        <v/>
      </c>
      <c r="F14" s="128" t="str">
        <f>IF(ISNUMBER(E14),E14/D14,"")</f>
        <v/>
      </c>
      <c r="G14" s="124"/>
      <c r="H14" s="124"/>
      <c r="I14" s="124"/>
      <c r="J14" s="124"/>
      <c r="K14" s="129" t="str">
        <f>IF(ISNUMBER(E14),PRODUCT(G14:J14),"")</f>
        <v/>
      </c>
      <c r="L14" s="130" t="str">
        <f>IF(AND(ISNUMBER(F14),ISNUMBER(K14)),F14*K14,"")</f>
        <v/>
      </c>
      <c r="M14" s="23"/>
      <c r="N14" s="35" t="s">
        <v>255</v>
      </c>
      <c r="O14" s="35"/>
      <c r="P14" s="35"/>
      <c r="Q14" s="76"/>
      <c r="R14" s="76"/>
      <c r="S14" s="76"/>
      <c r="T14" s="76"/>
      <c r="U14" s="76"/>
    </row>
    <row r="15" spans="1:21" ht="24.95" customHeight="1" x14ac:dyDescent="0.25">
      <c r="A15" s="306">
        <v>5</v>
      </c>
      <c r="B15" s="131"/>
      <c r="C15" s="132"/>
      <c r="D15" s="133"/>
      <c r="E15" s="134" t="str">
        <f>IF(AND(ISNUMBER(Q94),Q94&gt;0),Q94*IF(Q93="USD",'2. Antecedentes'!$Q$16,1),"")</f>
        <v/>
      </c>
      <c r="F15" s="123" t="str">
        <f>IF(ISNUMBER(E15),E15/D15,"")</f>
        <v/>
      </c>
      <c r="G15" s="135"/>
      <c r="H15" s="135"/>
      <c r="I15" s="135"/>
      <c r="J15" s="135"/>
      <c r="K15" s="125" t="str">
        <f>IF(ISNUMBER(E15),PRODUCT(G15:J15),"")</f>
        <v/>
      </c>
      <c r="L15" s="308" t="str">
        <f>IF(AND(ISNUMBER(F15),ISNUMBER(K15)),F15*K15,"")</f>
        <v/>
      </c>
      <c r="M15" s="23"/>
      <c r="N15" s="35" t="s">
        <v>256</v>
      </c>
      <c r="O15" s="35"/>
      <c r="P15" s="35"/>
      <c r="Q15" s="76"/>
      <c r="R15" s="76"/>
      <c r="S15" s="76"/>
      <c r="T15" s="76"/>
      <c r="U15" s="76"/>
    </row>
    <row r="16" spans="1:21" ht="20.100000000000001" customHeight="1" x14ac:dyDescent="0.25">
      <c r="A16" s="304" t="s">
        <v>135</v>
      </c>
      <c r="B16" s="305"/>
      <c r="C16" s="136"/>
      <c r="D16" s="136"/>
      <c r="E16" s="136"/>
      <c r="F16" s="136"/>
      <c r="G16" s="136"/>
      <c r="H16" s="136"/>
      <c r="I16" s="136"/>
      <c r="J16" s="136"/>
      <c r="K16" s="136"/>
      <c r="L16" s="307" t="str">
        <f>IF(COUNT(L11:L15)&gt;=3,AVERAGE(L11:L15),"")</f>
        <v/>
      </c>
      <c r="M16" s="23"/>
      <c r="N16" s="35" t="s">
        <v>257</v>
      </c>
      <c r="O16" s="35"/>
      <c r="P16" s="35"/>
      <c r="Q16" s="71"/>
      <c r="R16" s="71"/>
      <c r="S16" s="71"/>
      <c r="T16" s="71"/>
      <c r="U16" s="71"/>
    </row>
    <row r="17" spans="1:21" ht="14.1" customHeight="1" x14ac:dyDescent="0.25">
      <c r="A17" s="357" t="s">
        <v>369</v>
      </c>
      <c r="B17" s="357"/>
      <c r="C17" s="357"/>
      <c r="D17" s="357"/>
      <c r="E17" s="357"/>
      <c r="F17" s="357"/>
      <c r="G17" s="357"/>
      <c r="H17" s="357"/>
      <c r="I17" s="357"/>
      <c r="J17" s="357"/>
      <c r="K17" s="358" t="str">
        <f>IF(AND(ISNUMBER(L16),COUNT(L11:L15)&gt;1),STDEV(L11:L15),"")</f>
        <v/>
      </c>
      <c r="L17" s="359" t="str">
        <f>IF(ISNUMBER(K17),K17/L16,"")</f>
        <v/>
      </c>
      <c r="M17" s="23"/>
      <c r="N17" s="35" t="s">
        <v>60</v>
      </c>
      <c r="O17" s="35"/>
      <c r="P17" s="35"/>
      <c r="Q17" s="71"/>
      <c r="R17" s="71"/>
      <c r="S17" s="71"/>
      <c r="T17" s="71"/>
      <c r="U17" s="71"/>
    </row>
    <row r="18" spans="1:21" ht="18" customHeight="1" x14ac:dyDescent="0.25">
      <c r="A18" s="295" t="s">
        <v>136</v>
      </c>
      <c r="B18" s="41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23"/>
      <c r="N18" s="35" t="s">
        <v>258</v>
      </c>
      <c r="O18" s="35"/>
      <c r="P18" s="35"/>
      <c r="Q18" s="137"/>
      <c r="R18" s="137"/>
      <c r="S18" s="137"/>
      <c r="T18" s="137"/>
      <c r="U18" s="137"/>
    </row>
    <row r="19" spans="1:21" ht="17.100000000000001" customHeight="1" x14ac:dyDescent="0.25">
      <c r="A19" s="296" t="s">
        <v>276</v>
      </c>
      <c r="B19" s="14"/>
      <c r="C19" s="14"/>
      <c r="D19" s="138" t="str">
        <f>IF(ISNUMBER('4. Inmueble'!Q16),'4. Inmueble'!Q16,"")</f>
        <v/>
      </c>
      <c r="E19" s="139"/>
      <c r="F19" s="139"/>
      <c r="G19" s="14" t="s">
        <v>277</v>
      </c>
      <c r="H19" s="14"/>
      <c r="I19" s="14"/>
      <c r="J19" s="140" t="str">
        <f>IF(L16="","",L16)</f>
        <v/>
      </c>
      <c r="K19" s="141"/>
      <c r="L19" s="141"/>
      <c r="M19" s="23"/>
      <c r="N19" s="35" t="s">
        <v>259</v>
      </c>
      <c r="O19" s="35"/>
      <c r="P19" s="35"/>
      <c r="Q19" s="71"/>
      <c r="R19" s="71"/>
      <c r="S19" s="71"/>
      <c r="T19" s="71"/>
      <c r="U19" s="71"/>
    </row>
    <row r="20" spans="1:21" ht="26.1" customHeight="1" x14ac:dyDescent="0.25">
      <c r="A20" s="14" t="s">
        <v>260</v>
      </c>
      <c r="B20" s="14"/>
      <c r="C20" s="14"/>
      <c r="D20" s="360">
        <v>1</v>
      </c>
      <c r="E20" s="142"/>
      <c r="F20" s="142"/>
      <c r="G20" s="14" t="s">
        <v>370</v>
      </c>
      <c r="H20" s="14"/>
      <c r="I20" s="14"/>
      <c r="J20" s="15"/>
      <c r="K20" s="15"/>
      <c r="L20" s="15"/>
      <c r="M20" s="23"/>
      <c r="N20" s="35" t="s">
        <v>261</v>
      </c>
      <c r="O20" s="35"/>
      <c r="P20" s="35"/>
      <c r="Q20" s="71"/>
      <c r="R20" s="71"/>
      <c r="S20" s="71"/>
      <c r="T20" s="71"/>
      <c r="U20" s="71"/>
    </row>
    <row r="21" spans="1:21" ht="24" customHeight="1" x14ac:dyDescent="0.25">
      <c r="A21" s="63" t="s">
        <v>141</v>
      </c>
      <c r="B21" s="64"/>
      <c r="C21" s="64"/>
      <c r="D21" s="64"/>
      <c r="E21" s="64"/>
      <c r="F21" s="64"/>
      <c r="G21" s="64"/>
      <c r="H21" s="64"/>
      <c r="I21" s="64"/>
      <c r="J21" s="65" t="str">
        <f>IF(AND(ISNUMBER(D19),D19&gt;0,ISNUMBER(J19),'2. Antecedentes'!Q13&lt;&gt;"Terreno"),D19*J19*IF(ISNUMBER(D20),D20,1),"")</f>
        <v/>
      </c>
      <c r="K21" s="66"/>
      <c r="L21" s="66"/>
      <c r="M21" s="23"/>
      <c r="N21" s="35" t="s">
        <v>262</v>
      </c>
      <c r="O21" s="35"/>
      <c r="P21" s="35"/>
      <c r="Q21" s="71"/>
      <c r="R21" s="71"/>
      <c r="S21" s="71"/>
      <c r="T21" s="71"/>
      <c r="U21" s="71"/>
    </row>
    <row r="22" spans="1:21" ht="6.95" customHeight="1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23"/>
      <c r="N22" s="35" t="s">
        <v>263</v>
      </c>
      <c r="O22" s="35"/>
      <c r="P22" s="35"/>
      <c r="Q22" s="71"/>
      <c r="R22" s="71"/>
      <c r="S22" s="71"/>
      <c r="T22" s="71"/>
      <c r="U22" s="71"/>
    </row>
    <row r="23" spans="1:21" ht="18" customHeight="1" x14ac:dyDescent="0.25">
      <c r="A23" s="295" t="s">
        <v>139</v>
      </c>
      <c r="B23" s="41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23"/>
      <c r="N23" s="35" t="s">
        <v>264</v>
      </c>
      <c r="O23" s="35"/>
      <c r="P23" s="35"/>
      <c r="Q23" s="71"/>
      <c r="R23" s="71"/>
      <c r="S23" s="71"/>
      <c r="T23" s="71"/>
      <c r="U23" s="71"/>
    </row>
    <row r="24" spans="1:21" ht="15" customHeight="1" x14ac:dyDescent="0.25">
      <c r="A24" s="309"/>
      <c r="B24" s="99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23"/>
      <c r="N24" s="35" t="s">
        <v>265</v>
      </c>
      <c r="O24" s="35"/>
      <c r="P24" s="35"/>
      <c r="Q24" s="71"/>
      <c r="R24" s="71"/>
      <c r="S24" s="71"/>
      <c r="T24" s="71"/>
      <c r="U24" s="71"/>
    </row>
    <row r="25" spans="1:21" ht="15" customHeight="1" x14ac:dyDescent="0.25">
      <c r="A25" s="99"/>
      <c r="B25" s="99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23"/>
      <c r="N25" s="35" t="s">
        <v>266</v>
      </c>
      <c r="O25" s="35"/>
      <c r="P25" s="35"/>
      <c r="Q25" s="71" t="str">
        <f>IF(Q11="Excluir",IF(Q24="","Explicar exclusión","Excluido"),IF(Q11&lt;&gt;"Incluir","Pendiente",IF(OR(B11="",Q12="",Q13="",Q19="",Q20="",Q21="",Q22="",Q23="",Q24=""),"Completar fuentes y ajustes",IF(OR(NOT(ISNUMBER(Q14)),NOT(ISNUMBER(Q15))),"Faltan fechas",IF(OR(Q14&lt;=0,Q15&lt;=0,Q14&gt;'2. Antecedentes'!$E$25,Q15&gt;'2. Antecedentes'!$Q$10),"Revisar fechas",IF(OR($Q$8="",Q16&lt;&gt;$Q$8),"No mezclar tipos de precio",IF(OR(AND(Q30="Incluir",OR(Q31=Q12,Q32=Q13)),AND(Q49="Incluir",OR(Q50=Q12,Q51=Q13)),AND(Q68="Incluir",OR(Q69=Q12,Q70=Q13)),AND(Q87="Incluir",OR(Q88=Q12,Q89=Q13))),"Fuente duplicada",IF(OR(NOT(ISNUMBER(D11)),D11&lt;=0,NOT(ISNUMBER(Q18)),Q18&lt;=0),"Falta precio o superficie",IF(AND(Q17&lt;&gt;"MXN",Q17&lt;&gt;"USD"),"Falta moneda",IF(AND(Q17="USD",OR(NOT(ISNUMBER('2. Antecedentes'!$Q$16)),'2. Antecedentes'!$Q$16&lt;=0,NOT(ISNUMBER('2. Antecedentes'!$Q$17)),'2. Antecedentes'!$Q$17&lt;=0,'2. Antecedentes'!$Q$17&gt;'2. Antecedentes'!$Q$10,'2. Antecedentes'!$Q$18="")),"Falta conversión USD",IF(OR(COUNT(G11:J11)&lt;&gt;4,MIN(G11:J11)&lt;=0),"Completar factores","Incluido")))))))))))</f>
        <v>Pendiente</v>
      </c>
      <c r="R25" s="71"/>
      <c r="S25" s="71"/>
      <c r="T25" s="71"/>
      <c r="U25" s="71"/>
    </row>
    <row r="26" spans="1:21" ht="15" customHeight="1" x14ac:dyDescent="0.25">
      <c r="A26" s="99"/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23"/>
      <c r="N26" s="24"/>
      <c r="O26" s="24"/>
      <c r="P26" s="24"/>
      <c r="Q26" s="24"/>
      <c r="R26" s="24"/>
      <c r="S26" s="24"/>
      <c r="T26" s="24"/>
      <c r="U26" s="24"/>
    </row>
    <row r="27" spans="1:21" ht="15" customHeight="1" x14ac:dyDescent="0.25">
      <c r="A27" s="99"/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23"/>
      <c r="N27" s="288" t="str">
        <f>IF(ISNUMBER(L16),"Fuentes completas: "&amp;COUNT(L11:L15)&amp;". Revisar pertinencia y dispersión.","Pendiente: mínimo 3 fuentes completas y ninguna seleccionada con errores.")</f>
        <v>Pendiente: mínimo 3 fuentes completas y ninguna seleccionada con errores.</v>
      </c>
      <c r="O27" s="24"/>
      <c r="P27" s="24"/>
      <c r="Q27" s="24"/>
      <c r="R27" s="24"/>
      <c r="S27" s="24"/>
      <c r="T27" s="24"/>
      <c r="U27" s="24"/>
    </row>
    <row r="28" spans="1:21" ht="15" customHeight="1" x14ac:dyDescent="0.25">
      <c r="A28" s="99"/>
      <c r="B28" s="99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23"/>
      <c r="N28" s="24"/>
      <c r="O28" s="24"/>
      <c r="P28" s="24"/>
      <c r="Q28" s="24"/>
      <c r="R28" s="24"/>
      <c r="S28" s="24"/>
      <c r="T28" s="24"/>
      <c r="U28" s="24"/>
    </row>
    <row r="29" spans="1:21" ht="15" customHeight="1" x14ac:dyDescent="0.25">
      <c r="A29" s="99"/>
      <c r="B29" s="99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23"/>
      <c r="N29" s="29" t="s">
        <v>331</v>
      </c>
      <c r="O29" s="29"/>
      <c r="P29" s="29"/>
      <c r="Q29" s="29"/>
      <c r="R29" s="29"/>
      <c r="S29" s="29"/>
      <c r="T29" s="29"/>
      <c r="U29" s="29"/>
    </row>
    <row r="30" spans="1:21" ht="6.95" customHeight="1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23"/>
      <c r="N30" s="35" t="s">
        <v>252</v>
      </c>
      <c r="O30" s="35"/>
      <c r="P30" s="35"/>
      <c r="Q30" s="71" t="s">
        <v>228</v>
      </c>
      <c r="R30" s="71"/>
      <c r="S30" s="71"/>
      <c r="T30" s="71"/>
      <c r="U30" s="71"/>
    </row>
    <row r="31" spans="1:21" ht="24" customHeight="1" x14ac:dyDescent="0.25">
      <c r="A31" s="361" t="s">
        <v>340</v>
      </c>
      <c r="B31" s="143"/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23"/>
      <c r="N31" s="35" t="s">
        <v>253</v>
      </c>
      <c r="O31" s="35"/>
      <c r="P31" s="35"/>
      <c r="Q31" s="71"/>
      <c r="R31" s="71"/>
      <c r="S31" s="71"/>
      <c r="T31" s="71"/>
      <c r="U31" s="71"/>
    </row>
    <row r="32" spans="1:21" ht="6.95" customHeight="1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23"/>
      <c r="N32" s="35" t="s">
        <v>254</v>
      </c>
      <c r="O32" s="35"/>
      <c r="P32" s="35"/>
      <c r="Q32" s="71"/>
      <c r="R32" s="71"/>
      <c r="S32" s="71"/>
      <c r="T32" s="71"/>
      <c r="U32" s="71"/>
    </row>
    <row r="33" spans="1:21" ht="21.95" customHeight="1" x14ac:dyDescent="0.25">
      <c r="A33" s="292" t="s">
        <v>341</v>
      </c>
      <c r="B33" s="292"/>
      <c r="C33" s="292"/>
      <c r="D33" s="292"/>
      <c r="E33" s="292"/>
      <c r="F33" s="292"/>
      <c r="G33" s="292"/>
      <c r="H33" s="292"/>
      <c r="I33" s="292"/>
      <c r="J33" s="292"/>
      <c r="K33" s="292"/>
      <c r="L33" s="292"/>
      <c r="M33" s="23"/>
      <c r="N33" s="35" t="s">
        <v>255</v>
      </c>
      <c r="O33" s="35"/>
      <c r="P33" s="35"/>
      <c r="Q33" s="76"/>
      <c r="R33" s="76"/>
      <c r="S33" s="76"/>
      <c r="T33" s="76"/>
      <c r="U33" s="76"/>
    </row>
    <row r="34" spans="1:21" x14ac:dyDescent="0.25">
      <c r="A34" s="35" t="s">
        <v>267</v>
      </c>
      <c r="B34" s="35"/>
      <c r="C34" s="35" t="s">
        <v>268</v>
      </c>
      <c r="D34" s="35"/>
      <c r="E34" s="35"/>
      <c r="F34" s="35"/>
      <c r="G34" s="35"/>
      <c r="H34" s="35"/>
      <c r="I34" s="35" t="s">
        <v>269</v>
      </c>
      <c r="J34" s="35"/>
      <c r="K34" s="35"/>
      <c r="L34" s="35"/>
      <c r="M34" s="23"/>
      <c r="N34" s="35" t="s">
        <v>256</v>
      </c>
      <c r="O34" s="35"/>
      <c r="P34" s="35"/>
      <c r="Q34" s="76"/>
      <c r="R34" s="76"/>
      <c r="S34" s="76"/>
      <c r="T34" s="76"/>
      <c r="U34" s="76"/>
    </row>
    <row r="35" spans="1:21" ht="24.95" customHeight="1" x14ac:dyDescent="0.25">
      <c r="A35" s="144" t="s">
        <v>278</v>
      </c>
      <c r="B35" s="144"/>
      <c r="C35" s="144" t="str">
        <f>IF(Q13="","",Q13)</f>
        <v/>
      </c>
      <c r="D35" s="144"/>
      <c r="E35" s="144"/>
      <c r="F35" s="144"/>
      <c r="G35" s="144"/>
      <c r="H35" s="144"/>
      <c r="I35" s="145" t="str">
        <f>IF(Q15="","",Q15)</f>
        <v/>
      </c>
      <c r="J35" s="145"/>
      <c r="K35" s="144"/>
      <c r="L35" s="144"/>
      <c r="M35" s="23"/>
      <c r="N35" s="35" t="s">
        <v>257</v>
      </c>
      <c r="O35" s="35"/>
      <c r="P35" s="35"/>
      <c r="Q35" s="71"/>
      <c r="R35" s="71"/>
      <c r="S35" s="71"/>
      <c r="T35" s="71"/>
      <c r="U35" s="71"/>
    </row>
    <row r="36" spans="1:21" ht="24.95" customHeight="1" x14ac:dyDescent="0.25">
      <c r="A36" s="144" t="s">
        <v>279</v>
      </c>
      <c r="B36" s="144"/>
      <c r="C36" s="144" t="str">
        <f>IF(Q32="","",Q32)</f>
        <v/>
      </c>
      <c r="D36" s="144"/>
      <c r="E36" s="144"/>
      <c r="F36" s="144"/>
      <c r="G36" s="144"/>
      <c r="H36" s="144"/>
      <c r="I36" s="145" t="str">
        <f>IF(Q34="","",Q34)</f>
        <v/>
      </c>
      <c r="J36" s="145"/>
      <c r="K36" s="144"/>
      <c r="L36" s="144"/>
      <c r="M36" s="23"/>
      <c r="N36" s="35" t="s">
        <v>60</v>
      </c>
      <c r="O36" s="35"/>
      <c r="P36" s="35"/>
      <c r="Q36" s="71"/>
      <c r="R36" s="71"/>
      <c r="S36" s="71"/>
      <c r="T36" s="71"/>
      <c r="U36" s="71"/>
    </row>
    <row r="37" spans="1:21" ht="24.95" customHeight="1" x14ac:dyDescent="0.25">
      <c r="A37" s="144" t="s">
        <v>280</v>
      </c>
      <c r="B37" s="144"/>
      <c r="C37" s="144" t="str">
        <f>IF(Q51="","",Q51)</f>
        <v/>
      </c>
      <c r="D37" s="144"/>
      <c r="E37" s="144"/>
      <c r="F37" s="144"/>
      <c r="G37" s="144"/>
      <c r="H37" s="144"/>
      <c r="I37" s="145" t="str">
        <f>IF(Q53="","",Q53)</f>
        <v/>
      </c>
      <c r="J37" s="145"/>
      <c r="K37" s="144"/>
      <c r="L37" s="144"/>
      <c r="M37" s="23"/>
      <c r="N37" s="35" t="s">
        <v>258</v>
      </c>
      <c r="O37" s="35"/>
      <c r="P37" s="35"/>
      <c r="Q37" s="137"/>
      <c r="R37" s="137"/>
      <c r="S37" s="137"/>
      <c r="T37" s="137"/>
      <c r="U37" s="137"/>
    </row>
    <row r="38" spans="1:21" ht="24.95" customHeight="1" x14ac:dyDescent="0.25">
      <c r="A38" s="144" t="s">
        <v>281</v>
      </c>
      <c r="B38" s="144"/>
      <c r="C38" s="144" t="str">
        <f>IF(Q70="","",Q70)</f>
        <v/>
      </c>
      <c r="D38" s="144"/>
      <c r="E38" s="144"/>
      <c r="F38" s="144"/>
      <c r="G38" s="144"/>
      <c r="H38" s="144"/>
      <c r="I38" s="145" t="str">
        <f>IF(Q72="","",Q72)</f>
        <v/>
      </c>
      <c r="J38" s="145"/>
      <c r="K38" s="144"/>
      <c r="L38" s="144"/>
      <c r="M38" s="23"/>
      <c r="N38" s="35" t="s">
        <v>259</v>
      </c>
      <c r="O38" s="35"/>
      <c r="P38" s="35"/>
      <c r="Q38" s="71"/>
      <c r="R38" s="71"/>
      <c r="S38" s="71"/>
      <c r="T38" s="71"/>
      <c r="U38" s="71"/>
    </row>
    <row r="39" spans="1:21" ht="24.95" customHeight="1" x14ac:dyDescent="0.25">
      <c r="A39" s="144" t="s">
        <v>282</v>
      </c>
      <c r="B39" s="144"/>
      <c r="C39" s="144" t="str">
        <f>IF(Q89="","",Q89)</f>
        <v/>
      </c>
      <c r="D39" s="144"/>
      <c r="E39" s="144"/>
      <c r="F39" s="144"/>
      <c r="G39" s="144"/>
      <c r="H39" s="144"/>
      <c r="I39" s="145" t="str">
        <f>IF(Q91="","",Q91)</f>
        <v/>
      </c>
      <c r="J39" s="145"/>
      <c r="K39" s="144"/>
      <c r="L39" s="144"/>
      <c r="M39" s="23"/>
      <c r="N39" s="35" t="s">
        <v>261</v>
      </c>
      <c r="O39" s="35"/>
      <c r="P39" s="35"/>
      <c r="Q39" s="71"/>
      <c r="R39" s="71"/>
      <c r="S39" s="71"/>
      <c r="T39" s="71"/>
      <c r="U39" s="71"/>
    </row>
    <row r="40" spans="1:2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23"/>
      <c r="N40" s="35" t="s">
        <v>262</v>
      </c>
      <c r="O40" s="35"/>
      <c r="P40" s="35"/>
      <c r="Q40" s="71"/>
      <c r="R40" s="71"/>
      <c r="S40" s="71"/>
      <c r="T40" s="71"/>
      <c r="U40" s="71"/>
    </row>
    <row r="41" spans="1:21" ht="26.1" customHeight="1" x14ac:dyDescent="0.25">
      <c r="A41" s="289"/>
      <c r="B41" s="289"/>
      <c r="C41" s="289"/>
      <c r="D41" s="289"/>
      <c r="E41" s="289"/>
      <c r="F41" s="289"/>
      <c r="G41" s="289"/>
      <c r="H41" s="289"/>
      <c r="I41" s="289"/>
      <c r="J41" s="289"/>
      <c r="K41" s="289"/>
      <c r="L41" s="289"/>
      <c r="M41" s="23"/>
      <c r="N41" s="35" t="s">
        <v>263</v>
      </c>
      <c r="O41" s="35"/>
      <c r="P41" s="35"/>
      <c r="Q41" s="71"/>
      <c r="R41" s="71"/>
      <c r="S41" s="71"/>
      <c r="T41" s="71"/>
      <c r="U41" s="71"/>
    </row>
    <row r="42" spans="1:21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23"/>
      <c r="N42" s="35" t="s">
        <v>264</v>
      </c>
      <c r="O42" s="35"/>
      <c r="P42" s="35"/>
      <c r="Q42" s="71"/>
      <c r="R42" s="71"/>
      <c r="S42" s="71"/>
      <c r="T42" s="71"/>
      <c r="U42" s="71"/>
    </row>
    <row r="43" spans="1:2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23"/>
      <c r="N43" s="35" t="s">
        <v>265</v>
      </c>
      <c r="O43" s="35"/>
      <c r="P43" s="35"/>
      <c r="Q43" s="71"/>
      <c r="R43" s="71"/>
      <c r="S43" s="71"/>
      <c r="T43" s="71"/>
      <c r="U43" s="71"/>
    </row>
    <row r="44" spans="1:2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23"/>
      <c r="N44" s="35" t="s">
        <v>266</v>
      </c>
      <c r="O44" s="35"/>
      <c r="P44" s="35"/>
      <c r="Q44" s="71" t="str">
        <f>IF(Q30="Excluir",IF(Q43="","Explicar exclusión","Excluido"),IF(Q30&lt;&gt;"Incluir","Pendiente",IF(OR(B12="",Q31="",Q32="",Q38="",Q39="",Q40="",Q41="",Q42="",Q43=""),"Completar fuentes y ajustes",IF(OR(NOT(ISNUMBER(Q33)),NOT(ISNUMBER(Q34))),"Faltan fechas",IF(OR(Q33&lt;=0,Q34&lt;=0,Q33&gt;'2. Antecedentes'!$E$25,Q34&gt;'2. Antecedentes'!$Q$10),"Revisar fechas",IF(OR($Q$8="",Q35&lt;&gt;$Q$8),"No mezclar tipos de precio",IF(OR(AND(Q11="Incluir",OR(Q12=Q31,Q13=Q32)),AND(Q49="Incluir",OR(Q50=Q31,Q51=Q32)),AND(Q68="Incluir",OR(Q69=Q31,Q70=Q32)),AND(Q87="Incluir",OR(Q88=Q31,Q89=Q32))),"Fuente duplicada",IF(OR(NOT(ISNUMBER(D12)),D12&lt;=0,NOT(ISNUMBER(Q37)),Q37&lt;=0),"Falta precio o superficie",IF(AND(Q36&lt;&gt;"MXN",Q36&lt;&gt;"USD"),"Falta moneda",IF(AND(Q36="USD",OR(NOT(ISNUMBER('2. Antecedentes'!$Q$16)),'2. Antecedentes'!$Q$16&lt;=0,NOT(ISNUMBER('2. Antecedentes'!$Q$17)),'2. Antecedentes'!$Q$17&lt;=0,'2. Antecedentes'!$Q$17&gt;'2. Antecedentes'!$Q$10,'2. Antecedentes'!$Q$18="")),"Falta conversión USD",IF(OR(COUNT(G12:J12)&lt;&gt;4,MIN(G12:J12)&lt;=0),"Completar factores","Incluido")))))))))))</f>
        <v>Pendiente</v>
      </c>
      <c r="R44" s="71"/>
      <c r="S44" s="71"/>
      <c r="T44" s="71"/>
      <c r="U44" s="71"/>
    </row>
    <row r="45" spans="1:2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23"/>
      <c r="N45" s="24"/>
      <c r="O45" s="24"/>
      <c r="P45" s="24"/>
      <c r="Q45" s="24"/>
      <c r="R45" s="24"/>
      <c r="S45" s="24"/>
      <c r="T45" s="24"/>
      <c r="U45" s="24"/>
    </row>
    <row r="46" spans="1:2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23"/>
      <c r="N46" s="24"/>
      <c r="O46" s="24"/>
      <c r="P46" s="24"/>
      <c r="Q46" s="24"/>
      <c r="R46" s="24"/>
      <c r="S46" s="24"/>
      <c r="T46" s="24"/>
      <c r="U46" s="24"/>
    </row>
    <row r="47" spans="1:2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23"/>
      <c r="N47" s="24"/>
      <c r="O47" s="24"/>
      <c r="P47" s="24"/>
      <c r="Q47" s="24"/>
      <c r="R47" s="24"/>
      <c r="S47" s="24"/>
      <c r="T47" s="24"/>
      <c r="U47" s="24"/>
    </row>
    <row r="48" spans="1:2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23"/>
      <c r="N48" s="29" t="s">
        <v>332</v>
      </c>
      <c r="O48" s="29"/>
      <c r="P48" s="29"/>
      <c r="Q48" s="29"/>
      <c r="R48" s="29"/>
      <c r="S48" s="29"/>
      <c r="T48" s="29"/>
      <c r="U48" s="29"/>
    </row>
    <row r="49" spans="1:2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23"/>
      <c r="N49" s="35" t="s">
        <v>252</v>
      </c>
      <c r="O49" s="35"/>
      <c r="P49" s="35"/>
      <c r="Q49" s="71" t="s">
        <v>228</v>
      </c>
      <c r="R49" s="71"/>
      <c r="S49" s="71"/>
      <c r="T49" s="71"/>
      <c r="U49" s="71"/>
    </row>
    <row r="50" spans="1:2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23"/>
      <c r="N50" s="35" t="s">
        <v>253</v>
      </c>
      <c r="O50" s="35"/>
      <c r="P50" s="35"/>
      <c r="Q50" s="71"/>
      <c r="R50" s="71"/>
      <c r="S50" s="71"/>
      <c r="T50" s="71"/>
      <c r="U50" s="71"/>
    </row>
    <row r="51" spans="1:2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23"/>
      <c r="N51" s="35" t="s">
        <v>254</v>
      </c>
      <c r="O51" s="35"/>
      <c r="P51" s="35"/>
      <c r="Q51" s="71"/>
      <c r="R51" s="71"/>
      <c r="S51" s="71"/>
      <c r="T51" s="71"/>
      <c r="U51" s="71"/>
    </row>
    <row r="52" spans="1:2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23"/>
      <c r="N52" s="35" t="s">
        <v>255</v>
      </c>
      <c r="O52" s="35"/>
      <c r="P52" s="35"/>
      <c r="Q52" s="76"/>
      <c r="R52" s="76"/>
      <c r="S52" s="76"/>
      <c r="T52" s="76"/>
      <c r="U52" s="76"/>
    </row>
    <row r="53" spans="1:2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23"/>
      <c r="N53" s="35" t="s">
        <v>256</v>
      </c>
      <c r="O53" s="35"/>
      <c r="P53" s="35"/>
      <c r="Q53" s="76"/>
      <c r="R53" s="76"/>
      <c r="S53" s="76"/>
      <c r="T53" s="76"/>
      <c r="U53" s="76"/>
    </row>
    <row r="54" spans="1:2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23"/>
      <c r="N54" s="35" t="s">
        <v>257</v>
      </c>
      <c r="O54" s="35"/>
      <c r="P54" s="35"/>
      <c r="Q54" s="71"/>
      <c r="R54" s="71"/>
      <c r="S54" s="71"/>
      <c r="T54" s="71"/>
      <c r="U54" s="71"/>
    </row>
    <row r="55" spans="1:2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23"/>
      <c r="N55" s="35" t="s">
        <v>60</v>
      </c>
      <c r="O55" s="35"/>
      <c r="P55" s="35"/>
      <c r="Q55" s="71"/>
      <c r="R55" s="71"/>
      <c r="S55" s="71"/>
      <c r="T55" s="71"/>
      <c r="U55" s="71"/>
    </row>
    <row r="56" spans="1:2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23"/>
      <c r="N56" s="35" t="s">
        <v>258</v>
      </c>
      <c r="O56" s="35"/>
      <c r="P56" s="35"/>
      <c r="Q56" s="137"/>
      <c r="R56" s="137"/>
      <c r="S56" s="137"/>
      <c r="T56" s="137"/>
      <c r="U56" s="137"/>
    </row>
    <row r="57" spans="1:2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23"/>
      <c r="N57" s="35" t="s">
        <v>259</v>
      </c>
      <c r="O57" s="35"/>
      <c r="P57" s="35"/>
      <c r="Q57" s="71"/>
      <c r="R57" s="71"/>
      <c r="S57" s="71"/>
      <c r="T57" s="71"/>
      <c r="U57" s="71"/>
    </row>
    <row r="58" spans="1:2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23"/>
      <c r="N58" s="35" t="s">
        <v>261</v>
      </c>
      <c r="O58" s="35"/>
      <c r="P58" s="35"/>
      <c r="Q58" s="71"/>
      <c r="R58" s="71"/>
      <c r="S58" s="71"/>
      <c r="T58" s="71"/>
      <c r="U58" s="71"/>
    </row>
    <row r="59" spans="1:2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23"/>
      <c r="N59" s="35" t="s">
        <v>262</v>
      </c>
      <c r="O59" s="35"/>
      <c r="P59" s="35"/>
      <c r="Q59" s="71"/>
      <c r="R59" s="71"/>
      <c r="S59" s="71"/>
      <c r="T59" s="71"/>
      <c r="U59" s="71"/>
    </row>
    <row r="60" spans="1:2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23"/>
      <c r="N60" s="35" t="s">
        <v>263</v>
      </c>
      <c r="O60" s="35"/>
      <c r="P60" s="35"/>
      <c r="Q60" s="71"/>
      <c r="R60" s="71"/>
      <c r="S60" s="71"/>
      <c r="T60" s="71"/>
      <c r="U60" s="71"/>
    </row>
    <row r="61" spans="1:21" x14ac:dyDescent="0.25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35" t="s">
        <v>264</v>
      </c>
      <c r="O61" s="35"/>
      <c r="P61" s="35"/>
      <c r="Q61" s="71"/>
      <c r="R61" s="71"/>
      <c r="S61" s="71"/>
      <c r="T61" s="71"/>
      <c r="U61" s="71"/>
    </row>
    <row r="62" spans="1:21" x14ac:dyDescent="0.25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35" t="s">
        <v>265</v>
      </c>
      <c r="O62" s="35"/>
      <c r="P62" s="35"/>
      <c r="Q62" s="71"/>
      <c r="R62" s="71"/>
      <c r="S62" s="71"/>
      <c r="T62" s="71"/>
      <c r="U62" s="71"/>
    </row>
    <row r="63" spans="1:21" x14ac:dyDescent="0.25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35" t="s">
        <v>266</v>
      </c>
      <c r="O63" s="35"/>
      <c r="P63" s="35"/>
      <c r="Q63" s="71" t="str">
        <f>IF(Q49="Excluir",IF(Q62="","Explicar exclusión","Excluido"),IF(Q49&lt;&gt;"Incluir","Pendiente",IF(OR(B13="",Q50="",Q51="",Q57="",Q58="",Q59="",Q60="",Q61="",Q62=""),"Completar fuentes y ajustes",IF(OR(NOT(ISNUMBER(Q52)),NOT(ISNUMBER(Q53))),"Faltan fechas",IF(OR(Q52&lt;=0,Q53&lt;=0,Q52&gt;'2. Antecedentes'!$E$25,Q53&gt;'2. Antecedentes'!$Q$10),"Revisar fechas",IF(OR($Q$8="",Q54&lt;&gt;$Q$8),"No mezclar tipos de precio",IF(OR(AND(Q11="Incluir",OR(Q12=Q50,Q13=Q51)),AND(Q30="Incluir",OR(Q31=Q50,Q32=Q51)),AND(Q68="Incluir",OR(Q69=Q50,Q70=Q51)),AND(Q87="Incluir",OR(Q88=Q50,Q89=Q51))),"Fuente duplicada",IF(OR(NOT(ISNUMBER(D13)),D13&lt;=0,NOT(ISNUMBER(Q56)),Q56&lt;=0),"Falta precio o superficie",IF(AND(Q55&lt;&gt;"MXN",Q55&lt;&gt;"USD"),"Falta moneda",IF(AND(Q55="USD",OR(NOT(ISNUMBER('2. Antecedentes'!$Q$16)),'2. Antecedentes'!$Q$16&lt;=0,NOT(ISNUMBER('2. Antecedentes'!$Q$17)),'2. Antecedentes'!$Q$17&lt;=0,'2. Antecedentes'!$Q$17&gt;'2. Antecedentes'!$Q$10,'2. Antecedentes'!$Q$18="")),"Falta conversión USD",IF(OR(COUNT(G13:J13)&lt;&gt;4,MIN(G13:J13)&lt;=0),"Completar factores","Incluido")))))))))))</f>
        <v>Pendiente</v>
      </c>
      <c r="R63" s="71"/>
      <c r="S63" s="71"/>
      <c r="T63" s="71"/>
      <c r="U63" s="71"/>
    </row>
    <row r="64" spans="1:21" x14ac:dyDescent="0.25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4"/>
      <c r="O64" s="24"/>
      <c r="P64" s="24"/>
      <c r="Q64" s="24"/>
      <c r="R64" s="24"/>
      <c r="S64" s="24"/>
      <c r="T64" s="24"/>
      <c r="U64" s="24"/>
    </row>
    <row r="65" spans="1:21" x14ac:dyDescent="0.2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4"/>
      <c r="O65" s="24"/>
      <c r="P65" s="24"/>
      <c r="Q65" s="24"/>
      <c r="R65" s="24"/>
      <c r="S65" s="24"/>
      <c r="T65" s="24"/>
      <c r="U65" s="24"/>
    </row>
    <row r="66" spans="1:21" x14ac:dyDescent="0.25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4"/>
      <c r="O66" s="24"/>
      <c r="P66" s="24"/>
      <c r="Q66" s="24"/>
      <c r="R66" s="24"/>
      <c r="S66" s="24"/>
      <c r="T66" s="24"/>
      <c r="U66" s="24"/>
    </row>
    <row r="67" spans="1:21" x14ac:dyDescent="0.25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9" t="s">
        <v>333</v>
      </c>
      <c r="O67" s="29"/>
      <c r="P67" s="29"/>
      <c r="Q67" s="29"/>
      <c r="R67" s="29"/>
      <c r="S67" s="29"/>
      <c r="T67" s="29"/>
      <c r="U67" s="29"/>
    </row>
    <row r="68" spans="1:21" x14ac:dyDescent="0.25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35" t="s">
        <v>252</v>
      </c>
      <c r="O68" s="35"/>
      <c r="P68" s="35"/>
      <c r="Q68" s="71" t="s">
        <v>228</v>
      </c>
      <c r="R68" s="71"/>
      <c r="S68" s="71"/>
      <c r="T68" s="71"/>
      <c r="U68" s="71"/>
    </row>
    <row r="69" spans="1:21" x14ac:dyDescent="0.25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35" t="s">
        <v>253</v>
      </c>
      <c r="O69" s="35"/>
      <c r="P69" s="35"/>
      <c r="Q69" s="71"/>
      <c r="R69" s="71"/>
      <c r="S69" s="71"/>
      <c r="T69" s="71"/>
      <c r="U69" s="71"/>
    </row>
    <row r="70" spans="1:21" x14ac:dyDescent="0.25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35" t="s">
        <v>254</v>
      </c>
      <c r="O70" s="35"/>
      <c r="P70" s="35"/>
      <c r="Q70" s="71"/>
      <c r="R70" s="71"/>
      <c r="S70" s="71"/>
      <c r="T70" s="71"/>
      <c r="U70" s="71"/>
    </row>
    <row r="71" spans="1:21" x14ac:dyDescent="0.25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35" t="s">
        <v>255</v>
      </c>
      <c r="O71" s="35"/>
      <c r="P71" s="35"/>
      <c r="Q71" s="76"/>
      <c r="R71" s="76"/>
      <c r="S71" s="76"/>
      <c r="T71" s="76"/>
      <c r="U71" s="76"/>
    </row>
    <row r="72" spans="1:21" x14ac:dyDescent="0.25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35" t="s">
        <v>256</v>
      </c>
      <c r="O72" s="35"/>
      <c r="P72" s="35"/>
      <c r="Q72" s="76"/>
      <c r="R72" s="76"/>
      <c r="S72" s="76"/>
      <c r="T72" s="76"/>
      <c r="U72" s="76"/>
    </row>
    <row r="73" spans="1:21" x14ac:dyDescent="0.25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35" t="s">
        <v>257</v>
      </c>
      <c r="O73" s="35"/>
      <c r="P73" s="35"/>
      <c r="Q73" s="71"/>
      <c r="R73" s="71"/>
      <c r="S73" s="71"/>
      <c r="T73" s="71"/>
      <c r="U73" s="71"/>
    </row>
    <row r="74" spans="1:21" x14ac:dyDescent="0.25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35" t="s">
        <v>60</v>
      </c>
      <c r="O74" s="35"/>
      <c r="P74" s="35"/>
      <c r="Q74" s="71"/>
      <c r="R74" s="71"/>
      <c r="S74" s="71"/>
      <c r="T74" s="71"/>
      <c r="U74" s="71"/>
    </row>
    <row r="75" spans="1:21" x14ac:dyDescent="0.2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35" t="s">
        <v>258</v>
      </c>
      <c r="O75" s="35"/>
      <c r="P75" s="35"/>
      <c r="Q75" s="137"/>
      <c r="R75" s="137"/>
      <c r="S75" s="137"/>
      <c r="T75" s="137"/>
      <c r="U75" s="137"/>
    </row>
    <row r="76" spans="1:21" x14ac:dyDescent="0.25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35" t="s">
        <v>259</v>
      </c>
      <c r="O76" s="35"/>
      <c r="P76" s="35"/>
      <c r="Q76" s="71"/>
      <c r="R76" s="71"/>
      <c r="S76" s="71"/>
      <c r="T76" s="71"/>
      <c r="U76" s="71"/>
    </row>
    <row r="77" spans="1:21" x14ac:dyDescent="0.25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35" t="s">
        <v>261</v>
      </c>
      <c r="O77" s="35"/>
      <c r="P77" s="35"/>
      <c r="Q77" s="71"/>
      <c r="R77" s="71"/>
      <c r="S77" s="71"/>
      <c r="T77" s="71"/>
      <c r="U77" s="71"/>
    </row>
    <row r="78" spans="1:21" x14ac:dyDescent="0.25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35" t="s">
        <v>262</v>
      </c>
      <c r="O78" s="35"/>
      <c r="P78" s="35"/>
      <c r="Q78" s="71"/>
      <c r="R78" s="71"/>
      <c r="S78" s="71"/>
      <c r="T78" s="71"/>
      <c r="U78" s="71"/>
    </row>
    <row r="79" spans="1:21" x14ac:dyDescent="0.25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35" t="s">
        <v>263</v>
      </c>
      <c r="O79" s="35"/>
      <c r="P79" s="35"/>
      <c r="Q79" s="71"/>
      <c r="R79" s="71"/>
      <c r="S79" s="71"/>
      <c r="T79" s="71"/>
      <c r="U79" s="71"/>
    </row>
    <row r="80" spans="1:21" x14ac:dyDescent="0.25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35" t="s">
        <v>264</v>
      </c>
      <c r="O80" s="35"/>
      <c r="P80" s="35"/>
      <c r="Q80" s="71"/>
      <c r="R80" s="71"/>
      <c r="S80" s="71"/>
      <c r="T80" s="71"/>
      <c r="U80" s="71"/>
    </row>
    <row r="81" spans="1:21" x14ac:dyDescent="0.2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35" t="s">
        <v>265</v>
      </c>
      <c r="O81" s="35"/>
      <c r="P81" s="35"/>
      <c r="Q81" s="71"/>
      <c r="R81" s="71"/>
      <c r="S81" s="71"/>
      <c r="T81" s="71"/>
      <c r="U81" s="71"/>
    </row>
    <row r="82" spans="1:21" x14ac:dyDescent="0.25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35" t="s">
        <v>266</v>
      </c>
      <c r="O82" s="35"/>
      <c r="P82" s="35"/>
      <c r="Q82" s="71" t="str">
        <f>IF(Q68="Excluir",IF(Q81="","Explicar exclusión","Excluido"),IF(Q68&lt;&gt;"Incluir","Pendiente",IF(OR(B14="",Q69="",Q70="",Q76="",Q77="",Q78="",Q79="",Q80="",Q81=""),"Completar fuentes y ajustes",IF(OR(NOT(ISNUMBER(Q71)),NOT(ISNUMBER(Q72))),"Faltan fechas",IF(OR(Q71&lt;=0,Q72&lt;=0,Q71&gt;'2. Antecedentes'!$E$25,Q72&gt;'2. Antecedentes'!$Q$10),"Revisar fechas",IF(OR($Q$8="",Q73&lt;&gt;$Q$8),"No mezclar tipos de precio",IF(OR(AND(Q11="Incluir",OR(Q12=Q69,Q13=Q70)),AND(Q30="Incluir",OR(Q31=Q69,Q32=Q70)),AND(Q49="Incluir",OR(Q50=Q69,Q51=Q70)),AND(Q87="Incluir",OR(Q88=Q69,Q89=Q70))),"Fuente duplicada",IF(OR(NOT(ISNUMBER(D14)),D14&lt;=0,NOT(ISNUMBER(Q75)),Q75&lt;=0),"Falta precio o superficie",IF(AND(Q74&lt;&gt;"MXN",Q74&lt;&gt;"USD"),"Falta moneda",IF(AND(Q74="USD",OR(NOT(ISNUMBER('2. Antecedentes'!$Q$16)),'2. Antecedentes'!$Q$16&lt;=0,NOT(ISNUMBER('2. Antecedentes'!$Q$17)),'2. Antecedentes'!$Q$17&lt;=0,'2. Antecedentes'!$Q$17&gt;'2. Antecedentes'!$Q$10,'2. Antecedentes'!$Q$18="")),"Falta conversión USD",IF(OR(COUNT(G14:J14)&lt;&gt;4,MIN(G14:J14)&lt;=0),"Completar factores","Incluido")))))))))))</f>
        <v>Pendiente</v>
      </c>
      <c r="R82" s="71"/>
      <c r="S82" s="71"/>
      <c r="T82" s="71"/>
      <c r="U82" s="71"/>
    </row>
    <row r="83" spans="1:21" x14ac:dyDescent="0.25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4"/>
      <c r="O83" s="24"/>
      <c r="P83" s="24"/>
      <c r="Q83" s="24"/>
      <c r="R83" s="24"/>
      <c r="S83" s="24"/>
      <c r="T83" s="24"/>
      <c r="U83" s="24"/>
    </row>
    <row r="84" spans="1:21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4"/>
      <c r="O84" s="24"/>
      <c r="P84" s="24"/>
      <c r="Q84" s="24"/>
      <c r="R84" s="24"/>
      <c r="S84" s="24"/>
      <c r="T84" s="24"/>
      <c r="U84" s="24"/>
    </row>
    <row r="85" spans="1:21" x14ac:dyDescent="0.2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4"/>
      <c r="O85" s="24"/>
      <c r="P85" s="24"/>
      <c r="Q85" s="24"/>
      <c r="R85" s="24"/>
      <c r="S85" s="24"/>
      <c r="T85" s="24"/>
      <c r="U85" s="24"/>
    </row>
    <row r="86" spans="1:21" x14ac:dyDescent="0.25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9" t="s">
        <v>334</v>
      </c>
      <c r="O86" s="29"/>
      <c r="P86" s="29"/>
      <c r="Q86" s="29"/>
      <c r="R86" s="29"/>
      <c r="S86" s="29"/>
      <c r="T86" s="29"/>
      <c r="U86" s="29"/>
    </row>
    <row r="87" spans="1:21" x14ac:dyDescent="0.25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35" t="s">
        <v>252</v>
      </c>
      <c r="O87" s="35"/>
      <c r="P87" s="35"/>
      <c r="Q87" s="71" t="s">
        <v>228</v>
      </c>
      <c r="R87" s="71"/>
      <c r="S87" s="71"/>
      <c r="T87" s="71"/>
      <c r="U87" s="71"/>
    </row>
    <row r="88" spans="1:21" x14ac:dyDescent="0.25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35" t="s">
        <v>253</v>
      </c>
      <c r="O88" s="35"/>
      <c r="P88" s="35"/>
      <c r="Q88" s="71"/>
      <c r="R88" s="71"/>
      <c r="S88" s="71"/>
      <c r="T88" s="71"/>
      <c r="U88" s="71"/>
    </row>
    <row r="89" spans="1:21" x14ac:dyDescent="0.25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35" t="s">
        <v>254</v>
      </c>
      <c r="O89" s="35"/>
      <c r="P89" s="35"/>
      <c r="Q89" s="71"/>
      <c r="R89" s="71"/>
      <c r="S89" s="71"/>
      <c r="T89" s="71"/>
      <c r="U89" s="71"/>
    </row>
    <row r="90" spans="1:21" x14ac:dyDescent="0.25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35" t="s">
        <v>255</v>
      </c>
      <c r="O90" s="35"/>
      <c r="P90" s="35"/>
      <c r="Q90" s="76"/>
      <c r="R90" s="76"/>
      <c r="S90" s="76"/>
      <c r="T90" s="76"/>
      <c r="U90" s="76"/>
    </row>
    <row r="91" spans="1:21" x14ac:dyDescent="0.25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35" t="s">
        <v>256</v>
      </c>
      <c r="O91" s="35"/>
      <c r="P91" s="35"/>
      <c r="Q91" s="76"/>
      <c r="R91" s="76"/>
      <c r="S91" s="76"/>
      <c r="T91" s="76"/>
      <c r="U91" s="76"/>
    </row>
    <row r="92" spans="1:21" x14ac:dyDescent="0.25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35" t="s">
        <v>257</v>
      </c>
      <c r="O92" s="35"/>
      <c r="P92" s="35"/>
      <c r="Q92" s="71"/>
      <c r="R92" s="71"/>
      <c r="S92" s="71"/>
      <c r="T92" s="71"/>
      <c r="U92" s="71"/>
    </row>
    <row r="93" spans="1:21" x14ac:dyDescent="0.25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35" t="s">
        <v>60</v>
      </c>
      <c r="O93" s="35"/>
      <c r="P93" s="35"/>
      <c r="Q93" s="71"/>
      <c r="R93" s="71"/>
      <c r="S93" s="71"/>
      <c r="T93" s="71"/>
      <c r="U93" s="71"/>
    </row>
    <row r="94" spans="1:21" x14ac:dyDescent="0.25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35" t="s">
        <v>258</v>
      </c>
      <c r="O94" s="35"/>
      <c r="P94" s="35"/>
      <c r="Q94" s="137"/>
      <c r="R94" s="137"/>
      <c r="S94" s="137"/>
      <c r="T94" s="137"/>
      <c r="U94" s="137"/>
    </row>
    <row r="95" spans="1:21" x14ac:dyDescent="0.2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35" t="s">
        <v>259</v>
      </c>
      <c r="O95" s="35"/>
      <c r="P95" s="35"/>
      <c r="Q95" s="71"/>
      <c r="R95" s="71"/>
      <c r="S95" s="71"/>
      <c r="T95" s="71"/>
      <c r="U95" s="71"/>
    </row>
    <row r="96" spans="1:21" x14ac:dyDescent="0.25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35" t="s">
        <v>261</v>
      </c>
      <c r="O96" s="35"/>
      <c r="P96" s="35"/>
      <c r="Q96" s="71"/>
      <c r="R96" s="71"/>
      <c r="S96" s="71"/>
      <c r="T96" s="71"/>
      <c r="U96" s="71"/>
    </row>
    <row r="97" spans="1:21" x14ac:dyDescent="0.25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35" t="s">
        <v>262</v>
      </c>
      <c r="O97" s="35"/>
      <c r="P97" s="35"/>
      <c r="Q97" s="71"/>
      <c r="R97" s="71"/>
      <c r="S97" s="71"/>
      <c r="T97" s="71"/>
      <c r="U97" s="71"/>
    </row>
    <row r="98" spans="1:21" x14ac:dyDescent="0.25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35" t="s">
        <v>263</v>
      </c>
      <c r="O98" s="35"/>
      <c r="P98" s="35"/>
      <c r="Q98" s="71"/>
      <c r="R98" s="71"/>
      <c r="S98" s="71"/>
      <c r="T98" s="71"/>
      <c r="U98" s="71"/>
    </row>
    <row r="99" spans="1:21" x14ac:dyDescent="0.25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35" t="s">
        <v>264</v>
      </c>
      <c r="O99" s="35"/>
      <c r="P99" s="35"/>
      <c r="Q99" s="71"/>
      <c r="R99" s="71"/>
      <c r="S99" s="71"/>
      <c r="T99" s="71"/>
      <c r="U99" s="71"/>
    </row>
    <row r="100" spans="1:21" x14ac:dyDescent="0.25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35" t="s">
        <v>265</v>
      </c>
      <c r="O100" s="35"/>
      <c r="P100" s="35"/>
      <c r="Q100" s="71"/>
      <c r="R100" s="71"/>
      <c r="S100" s="71"/>
      <c r="T100" s="71"/>
      <c r="U100" s="71"/>
    </row>
    <row r="101" spans="1:21" x14ac:dyDescent="0.25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35" t="s">
        <v>266</v>
      </c>
      <c r="O101" s="35"/>
      <c r="P101" s="35"/>
      <c r="Q101" s="71" t="str">
        <f>IF(Q87="Excluir",IF(Q100="","Explicar exclusión","Excluido"),IF(Q87&lt;&gt;"Incluir","Pendiente",IF(OR(B15="",Q88="",Q89="",Q95="",Q96="",Q97="",Q98="",Q99="",Q100=""),"Completar fuentes y ajustes",IF(OR(NOT(ISNUMBER(Q90)),NOT(ISNUMBER(Q91))),"Faltan fechas",IF(OR(Q90&lt;=0,Q91&lt;=0,Q90&gt;'2. Antecedentes'!$E$25,Q91&gt;'2. Antecedentes'!$Q$10),"Revisar fechas",IF(OR($Q$8="",Q92&lt;&gt;$Q$8),"No mezclar tipos de precio",IF(OR(AND(Q11="Incluir",OR(Q12=Q88,Q13=Q89)),AND(Q30="Incluir",OR(Q31=Q88,Q32=Q89)),AND(Q49="Incluir",OR(Q50=Q88,Q51=Q89)),AND(Q68="Incluir",OR(Q69=Q88,Q70=Q89))),"Fuente duplicada",IF(OR(NOT(ISNUMBER(D15)),D15&lt;=0,NOT(ISNUMBER(Q94)),Q94&lt;=0),"Falta precio o superficie",IF(AND(Q93&lt;&gt;"MXN",Q93&lt;&gt;"USD"),"Falta moneda",IF(AND(Q93="USD",OR(NOT(ISNUMBER('2. Antecedentes'!$Q$16)),'2. Antecedentes'!$Q$16&lt;=0,NOT(ISNUMBER('2. Antecedentes'!$Q$17)),'2. Antecedentes'!$Q$17&lt;=0,'2. Antecedentes'!$Q$17&gt;'2. Antecedentes'!$Q$10,'2. Antecedentes'!$Q$18="")),"Falta conversión USD",IF(OR(COUNT(G15:J15)&lt;&gt;4,MIN(G15:J15)&lt;=0),"Completar factores","Incluido")))))))))))</f>
        <v>Pendiente</v>
      </c>
      <c r="R101" s="71"/>
      <c r="S101" s="71"/>
      <c r="T101" s="71"/>
      <c r="U101" s="71"/>
    </row>
    <row r="102" spans="1:21" x14ac:dyDescent="0.25">
      <c r="N102" s="2"/>
      <c r="O102" s="2"/>
      <c r="P102" s="2"/>
      <c r="Q102" s="2"/>
      <c r="R102" s="2"/>
      <c r="S102" s="2"/>
      <c r="T102" s="2"/>
      <c r="U102" s="2"/>
    </row>
    <row r="103" spans="1:21" x14ac:dyDescent="0.25">
      <c r="N103" s="2"/>
      <c r="O103" s="2"/>
      <c r="P103" s="2"/>
      <c r="Q103" s="2"/>
      <c r="R103" s="2"/>
      <c r="S103" s="2"/>
      <c r="T103" s="2"/>
      <c r="U103" s="2"/>
    </row>
    <row r="104" spans="1:21" x14ac:dyDescent="0.25">
      <c r="N104" s="2"/>
      <c r="O104" s="2"/>
      <c r="P104" s="2"/>
      <c r="Q104" s="2"/>
      <c r="R104" s="2"/>
      <c r="S104" s="2"/>
      <c r="T104" s="2"/>
      <c r="U104" s="2"/>
    </row>
    <row r="105" spans="1:21" x14ac:dyDescent="0.25">
      <c r="N105" s="2"/>
      <c r="O105" s="2"/>
      <c r="P105" s="2"/>
      <c r="Q105" s="2"/>
      <c r="R105" s="2"/>
      <c r="S105" s="2"/>
      <c r="T105" s="2"/>
      <c r="U105" s="2"/>
    </row>
    <row r="106" spans="1:21" x14ac:dyDescent="0.25">
      <c r="N106" s="2"/>
      <c r="O106" s="2"/>
      <c r="P106" s="2"/>
      <c r="Q106" s="2"/>
      <c r="R106" s="2"/>
      <c r="S106" s="2"/>
      <c r="T106" s="2"/>
      <c r="U106" s="2"/>
    </row>
    <row r="107" spans="1:21" x14ac:dyDescent="0.25">
      <c r="N107" s="2"/>
      <c r="O107" s="2"/>
      <c r="P107" s="2"/>
      <c r="Q107" s="2"/>
      <c r="R107" s="2"/>
      <c r="S107" s="2"/>
      <c r="T107" s="2"/>
      <c r="U107" s="2"/>
    </row>
    <row r="108" spans="1:21" x14ac:dyDescent="0.25">
      <c r="N108" s="2"/>
      <c r="O108" s="2"/>
      <c r="P108" s="2"/>
      <c r="Q108" s="2"/>
      <c r="R108" s="2"/>
      <c r="S108" s="2"/>
      <c r="T108" s="2"/>
      <c r="U108" s="2"/>
    </row>
    <row r="109" spans="1:21" x14ac:dyDescent="0.25">
      <c r="N109" s="2"/>
      <c r="O109" s="2"/>
      <c r="P109" s="2"/>
      <c r="Q109" s="2"/>
      <c r="R109" s="2"/>
      <c r="S109" s="2"/>
      <c r="T109" s="2"/>
      <c r="U109" s="2"/>
    </row>
    <row r="110" spans="1:21" x14ac:dyDescent="0.25">
      <c r="N110" s="2"/>
      <c r="O110" s="2"/>
      <c r="P110" s="2"/>
      <c r="Q110" s="2"/>
      <c r="R110" s="2"/>
      <c r="S110" s="2"/>
      <c r="T110" s="2"/>
      <c r="U110" s="2"/>
    </row>
    <row r="111" spans="1:21" x14ac:dyDescent="0.25">
      <c r="N111" s="2"/>
      <c r="O111" s="2"/>
      <c r="P111" s="2"/>
      <c r="Q111" s="2"/>
      <c r="R111" s="2"/>
      <c r="S111" s="2"/>
      <c r="T111" s="2"/>
      <c r="U111" s="2"/>
    </row>
    <row r="112" spans="1:21" x14ac:dyDescent="0.25">
      <c r="N112" s="2"/>
      <c r="O112" s="2"/>
      <c r="P112" s="2"/>
      <c r="Q112" s="2"/>
      <c r="R112" s="2"/>
      <c r="S112" s="2"/>
      <c r="T112" s="2"/>
      <c r="U112" s="2"/>
    </row>
    <row r="113" spans="14:21" x14ac:dyDescent="0.25">
      <c r="N113" s="2"/>
      <c r="O113" s="2"/>
      <c r="P113" s="2"/>
      <c r="Q113" s="2"/>
      <c r="R113" s="2"/>
      <c r="S113" s="2"/>
      <c r="T113" s="2"/>
      <c r="U113" s="2"/>
    </row>
    <row r="114" spans="14:21" x14ac:dyDescent="0.25">
      <c r="N114" s="2"/>
      <c r="O114" s="2"/>
      <c r="P114" s="2"/>
      <c r="Q114" s="2"/>
      <c r="R114" s="2"/>
      <c r="S114" s="2"/>
      <c r="T114" s="2"/>
      <c r="U114" s="2"/>
    </row>
    <row r="115" spans="14:21" x14ac:dyDescent="0.25">
      <c r="N115" s="2"/>
      <c r="O115" s="2"/>
      <c r="P115" s="2"/>
      <c r="Q115" s="2"/>
      <c r="R115" s="2"/>
      <c r="S115" s="2"/>
      <c r="T115" s="2"/>
      <c r="U115" s="2"/>
    </row>
  </sheetData>
  <mergeCells count="212">
    <mergeCell ref="A20:C20"/>
    <mergeCell ref="D20:F20"/>
    <mergeCell ref="G20:I20"/>
    <mergeCell ref="J20:L20"/>
    <mergeCell ref="A21:I21"/>
    <mergeCell ref="J21:L21"/>
    <mergeCell ref="A23:L23"/>
    <mergeCell ref="A24:L29"/>
    <mergeCell ref="A31:L31"/>
    <mergeCell ref="B12:C12"/>
    <mergeCell ref="B13:C13"/>
    <mergeCell ref="B14:C14"/>
    <mergeCell ref="A16:K16"/>
    <mergeCell ref="A18:L18"/>
    <mergeCell ref="B15:C15"/>
    <mergeCell ref="A19:C19"/>
    <mergeCell ref="D19:F19"/>
    <mergeCell ref="G19:I19"/>
    <mergeCell ref="J19:L19"/>
    <mergeCell ref="N7:U7"/>
    <mergeCell ref="N8:P8"/>
    <mergeCell ref="Q8:U8"/>
    <mergeCell ref="N10:U10"/>
    <mergeCell ref="N11:P11"/>
    <mergeCell ref="Q11:U11"/>
    <mergeCell ref="C2:H2"/>
    <mergeCell ref="I2:L3"/>
    <mergeCell ref="C3:H3"/>
    <mergeCell ref="A5:L5"/>
    <mergeCell ref="A7:L7"/>
    <mergeCell ref="A8:L8"/>
    <mergeCell ref="A9:L9"/>
    <mergeCell ref="B10:C10"/>
    <mergeCell ref="B11:C11"/>
    <mergeCell ref="N15:P15"/>
    <mergeCell ref="Q15:U15"/>
    <mergeCell ref="N16:P16"/>
    <mergeCell ref="Q16:U16"/>
    <mergeCell ref="N17:P17"/>
    <mergeCell ref="Q17:U17"/>
    <mergeCell ref="N12:P12"/>
    <mergeCell ref="Q12:U12"/>
    <mergeCell ref="N13:P13"/>
    <mergeCell ref="Q13:U13"/>
    <mergeCell ref="N14:P14"/>
    <mergeCell ref="Q14:U14"/>
    <mergeCell ref="N21:P21"/>
    <mergeCell ref="Q21:U21"/>
    <mergeCell ref="N22:P22"/>
    <mergeCell ref="Q22:U22"/>
    <mergeCell ref="N23:P23"/>
    <mergeCell ref="Q23:U23"/>
    <mergeCell ref="N18:P18"/>
    <mergeCell ref="Q18:U18"/>
    <mergeCell ref="N19:P19"/>
    <mergeCell ref="Q19:U19"/>
    <mergeCell ref="N20:P20"/>
    <mergeCell ref="Q20:U20"/>
    <mergeCell ref="N30:P30"/>
    <mergeCell ref="Q30:U30"/>
    <mergeCell ref="N31:P31"/>
    <mergeCell ref="Q31:U31"/>
    <mergeCell ref="N32:P32"/>
    <mergeCell ref="Q32:U32"/>
    <mergeCell ref="N24:P24"/>
    <mergeCell ref="Q24:U24"/>
    <mergeCell ref="N25:P25"/>
    <mergeCell ref="Q25:U25"/>
    <mergeCell ref="N29:U29"/>
    <mergeCell ref="N36:P36"/>
    <mergeCell ref="Q36:U36"/>
    <mergeCell ref="N37:P37"/>
    <mergeCell ref="Q37:U37"/>
    <mergeCell ref="N38:P38"/>
    <mergeCell ref="Q38:U38"/>
    <mergeCell ref="N33:P33"/>
    <mergeCell ref="Q33:U33"/>
    <mergeCell ref="N34:P34"/>
    <mergeCell ref="Q34:U34"/>
    <mergeCell ref="N35:P35"/>
    <mergeCell ref="Q35:U35"/>
    <mergeCell ref="N42:P42"/>
    <mergeCell ref="Q42:U42"/>
    <mergeCell ref="N43:P43"/>
    <mergeCell ref="Q43:U43"/>
    <mergeCell ref="N44:P44"/>
    <mergeCell ref="Q44:U44"/>
    <mergeCell ref="N39:P39"/>
    <mergeCell ref="Q39:U39"/>
    <mergeCell ref="N40:P40"/>
    <mergeCell ref="Q40:U40"/>
    <mergeCell ref="N41:P41"/>
    <mergeCell ref="Q41:U41"/>
    <mergeCell ref="N51:P51"/>
    <mergeCell ref="Q51:U51"/>
    <mergeCell ref="N52:P52"/>
    <mergeCell ref="Q52:U52"/>
    <mergeCell ref="N53:P53"/>
    <mergeCell ref="Q53:U53"/>
    <mergeCell ref="N48:U48"/>
    <mergeCell ref="N49:P49"/>
    <mergeCell ref="Q49:U49"/>
    <mergeCell ref="N50:P50"/>
    <mergeCell ref="Q50:U50"/>
    <mergeCell ref="N57:P57"/>
    <mergeCell ref="Q57:U57"/>
    <mergeCell ref="N58:P58"/>
    <mergeCell ref="Q58:U58"/>
    <mergeCell ref="N59:P59"/>
    <mergeCell ref="Q59:U59"/>
    <mergeCell ref="N54:P54"/>
    <mergeCell ref="Q54:U54"/>
    <mergeCell ref="N55:P55"/>
    <mergeCell ref="Q55:U55"/>
    <mergeCell ref="N56:P56"/>
    <mergeCell ref="Q56:U56"/>
    <mergeCell ref="N63:P63"/>
    <mergeCell ref="Q63:U63"/>
    <mergeCell ref="N67:U67"/>
    <mergeCell ref="N68:P68"/>
    <mergeCell ref="Q68:U68"/>
    <mergeCell ref="N60:P60"/>
    <mergeCell ref="Q60:U60"/>
    <mergeCell ref="N61:P61"/>
    <mergeCell ref="Q61:U61"/>
    <mergeCell ref="N62:P62"/>
    <mergeCell ref="Q62:U62"/>
    <mergeCell ref="N72:P72"/>
    <mergeCell ref="Q72:U72"/>
    <mergeCell ref="N73:P73"/>
    <mergeCell ref="Q73:U73"/>
    <mergeCell ref="N74:P74"/>
    <mergeCell ref="Q74:U74"/>
    <mergeCell ref="N69:P69"/>
    <mergeCell ref="Q69:U69"/>
    <mergeCell ref="N70:P70"/>
    <mergeCell ref="Q70:U70"/>
    <mergeCell ref="N71:P71"/>
    <mergeCell ref="Q71:U71"/>
    <mergeCell ref="N78:P78"/>
    <mergeCell ref="Q78:U78"/>
    <mergeCell ref="N79:P79"/>
    <mergeCell ref="Q79:U79"/>
    <mergeCell ref="N80:P80"/>
    <mergeCell ref="Q80:U80"/>
    <mergeCell ref="N75:P75"/>
    <mergeCell ref="Q75:U75"/>
    <mergeCell ref="N76:P76"/>
    <mergeCell ref="Q76:U76"/>
    <mergeCell ref="N77:P77"/>
    <mergeCell ref="Q77:U77"/>
    <mergeCell ref="N87:P87"/>
    <mergeCell ref="Q87:U87"/>
    <mergeCell ref="N88:P88"/>
    <mergeCell ref="Q88:U88"/>
    <mergeCell ref="N89:P89"/>
    <mergeCell ref="Q89:U89"/>
    <mergeCell ref="N81:P81"/>
    <mergeCell ref="Q81:U81"/>
    <mergeCell ref="N82:P82"/>
    <mergeCell ref="Q82:U82"/>
    <mergeCell ref="N86:U86"/>
    <mergeCell ref="N93:P93"/>
    <mergeCell ref="Q93:U93"/>
    <mergeCell ref="N94:P94"/>
    <mergeCell ref="Q94:U94"/>
    <mergeCell ref="N95:P95"/>
    <mergeCell ref="Q95:U95"/>
    <mergeCell ref="N90:P90"/>
    <mergeCell ref="Q90:U90"/>
    <mergeCell ref="N91:P91"/>
    <mergeCell ref="Q91:U91"/>
    <mergeCell ref="N92:P92"/>
    <mergeCell ref="Q92:U92"/>
    <mergeCell ref="N99:P99"/>
    <mergeCell ref="Q99:U99"/>
    <mergeCell ref="N100:P100"/>
    <mergeCell ref="Q100:U100"/>
    <mergeCell ref="N101:P101"/>
    <mergeCell ref="Q101:U101"/>
    <mergeCell ref="N96:P96"/>
    <mergeCell ref="Q96:U96"/>
    <mergeCell ref="N97:P97"/>
    <mergeCell ref="Q97:U97"/>
    <mergeCell ref="N98:P98"/>
    <mergeCell ref="Q98:U98"/>
    <mergeCell ref="A35:B35"/>
    <mergeCell ref="C35:H35"/>
    <mergeCell ref="I35:J35"/>
    <mergeCell ref="K35:L35"/>
    <mergeCell ref="A36:B36"/>
    <mergeCell ref="C36:H36"/>
    <mergeCell ref="I36:J36"/>
    <mergeCell ref="K36:L36"/>
    <mergeCell ref="A33:L33"/>
    <mergeCell ref="A34:B34"/>
    <mergeCell ref="C34:H34"/>
    <mergeCell ref="I34:J34"/>
    <mergeCell ref="K34:L34"/>
    <mergeCell ref="A39:B39"/>
    <mergeCell ref="C39:H39"/>
    <mergeCell ref="I39:J39"/>
    <mergeCell ref="K39:L39"/>
    <mergeCell ref="A41:L41"/>
    <mergeCell ref="A37:B37"/>
    <mergeCell ref="C37:H37"/>
    <mergeCell ref="I37:J37"/>
    <mergeCell ref="K37:L37"/>
    <mergeCell ref="A38:B38"/>
    <mergeCell ref="C38:H38"/>
    <mergeCell ref="I38:J38"/>
    <mergeCell ref="K38:L38"/>
  </mergeCells>
  <conditionalFormatting sqref="Q25">
    <cfRule type="expression" dxfId="11" priority="1">
      <formula>AND(Q25&lt;&gt;"",Q25&lt;&gt;"Incluido",Q25&lt;&gt;"Revisada",Q25&lt;&gt;"Bases completas",Q25&lt;&gt;"Excluido")</formula>
    </cfRule>
  </conditionalFormatting>
  <conditionalFormatting sqref="Q44">
    <cfRule type="expression" dxfId="10" priority="2">
      <formula>AND(Q44&lt;&gt;"",Q44&lt;&gt;"Incluido",Q44&lt;&gt;"Revisada",Q44&lt;&gt;"Bases completas",Q44&lt;&gt;"Excluido")</formula>
    </cfRule>
  </conditionalFormatting>
  <conditionalFormatting sqref="Q63">
    <cfRule type="expression" dxfId="9" priority="3">
      <formula>AND(Q63&lt;&gt;"",Q63&lt;&gt;"Incluido",Q63&lt;&gt;"Revisada",Q63&lt;&gt;"Bases completas",Q63&lt;&gt;"Excluido")</formula>
    </cfRule>
  </conditionalFormatting>
  <conditionalFormatting sqref="Q82">
    <cfRule type="expression" dxfId="8" priority="4">
      <formula>AND(Q82&lt;&gt;"",Q82&lt;&gt;"Incluido",Q82&lt;&gt;"Revisada",Q82&lt;&gt;"Bases completas",Q82&lt;&gt;"Excluido")</formula>
    </cfRule>
  </conditionalFormatting>
  <conditionalFormatting sqref="Q101">
    <cfRule type="expression" dxfId="7" priority="5">
      <formula>AND(Q101&lt;&gt;"",Q101&lt;&gt;"Incluido",Q101&lt;&gt;"Revisada",Q101&lt;&gt;"Bases completas",Q101&lt;&gt;"Excluido")</formula>
    </cfRule>
  </conditionalFormatting>
  <dataValidations count="3">
    <dataValidation type="list" sqref="Q8 Q92 Q73 Q54 Q35 Q16" xr:uid="{00000000-0002-0000-0700-000000000000}">
      <formula1>"Oferta,Cierre"</formula1>
    </dataValidation>
    <dataValidation type="list" sqref="Q11 Q87 Q68 Q49 Q30" xr:uid="{00000000-0002-0000-0700-000001000000}">
      <formula1>"Pendiente,Incluir,Excluir"</formula1>
    </dataValidation>
    <dataValidation type="list" sqref="Q17 Q93 Q74 Q55 Q36" xr:uid="{00000000-0002-0000-0700-000003000000}">
      <formula1>"MXN,USD"</formula1>
    </dataValidation>
  </dataValidations>
  <hyperlinks>
    <hyperlink ref="N5" location="'Índice'!N7" tooltip="Abrir guía de uso" display="GUÍA DE USO" xr:uid="{237FC960-6688-476A-9844-55BA4722E463}"/>
    <hyperlink ref="N6" location="'6. Comp. Constr.'!A1" tooltip="Volver al informe" display="VOLVER AL INFORME" xr:uid="{617E752D-BE6E-460F-B689-5C36E08012FC}"/>
    <hyperlink ref="A31" location="'6. Comp. Constr.'!N7" display="'6. Comp. Constr.'!N7" xr:uid="{6B72DDCF-0751-4DF4-84E2-BE12212853FE}"/>
    <hyperlink ref="A11" location="'6. Comp. Constr.'!N10" display="'6. Comp. Constr.'!N10" xr:uid="{51EDF3FC-E3FC-4734-AB23-8D8ECD8C48B0}"/>
    <hyperlink ref="A12" location="'6. Comp. Constr.'!N29" display="'6. Comp. Constr.'!N29" xr:uid="{49F15523-928E-4425-B502-0908029770E6}"/>
    <hyperlink ref="A13" location="'6. Comp. Constr.'!N48" display="'6. Comp. Constr.'!N48" xr:uid="{330F415B-EAF7-4AA2-8033-C28CBCB0A8FD}"/>
    <hyperlink ref="A14" location="'6. Comp. Constr.'!N67" display="'6. Comp. Constr.'!N67" xr:uid="{7C847651-F3CE-447F-8B1E-DFB267B6A511}"/>
    <hyperlink ref="A15" location="'6. Comp. Constr.'!N86" display="'6. Comp. Constr.'!N86" xr:uid="{7FC155B5-AD39-415C-B840-A7F3410B42E4}"/>
  </hyperlinks>
  <printOptions horizontalCentered="1"/>
  <pageMargins left="0.28000000000000003" right="0.28000000000000003" top="0.4" bottom="0.5" header="0.25" footer="0.25"/>
  <pageSetup scale="93" orientation="portrait" r:id="rId1"/>
  <headerFooter>
    <oddFooter>&amp;C&amp;"Arial"&amp;8&amp;K6B7280&amp;P/&amp;F</oddFooter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F6B4E"/>
    <pageSetUpPr fitToPage="1"/>
  </sheetPr>
  <dimension ref="A1:U115"/>
  <sheetViews>
    <sheetView showGridLines="0" topLeftCell="A15" zoomScaleNormal="100" workbookViewId="0"/>
  </sheetViews>
  <sheetFormatPr baseColWidth="10" defaultColWidth="9.140625" defaultRowHeight="15" x14ac:dyDescent="0.25"/>
  <cols>
    <col min="1" max="12" width="9" customWidth="1"/>
    <col min="13" max="13" width="3" customWidth="1"/>
    <col min="14" max="21" width="18" customWidth="1"/>
  </cols>
  <sheetData>
    <row r="1" spans="1:2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N1" s="2"/>
      <c r="O1" s="2"/>
      <c r="P1" s="2"/>
      <c r="Q1" s="2"/>
      <c r="R1" s="2"/>
      <c r="S1" s="2"/>
      <c r="T1" s="2"/>
      <c r="U1" s="2"/>
    </row>
    <row r="2" spans="1:21" ht="18" customHeight="1" x14ac:dyDescent="0.25">
      <c r="A2" s="149"/>
      <c r="B2" s="149"/>
      <c r="C2" s="21"/>
      <c r="D2" s="21"/>
      <c r="E2" s="21"/>
      <c r="F2" s="21"/>
      <c r="G2" s="21"/>
      <c r="H2" s="21"/>
      <c r="I2" s="8" t="str">
        <f>"Opinión de valor comercial"&amp;IF('2. Antecedentes'!$Q$9&lt;&gt;"",CHAR(10)&amp;"Folio "&amp;'2. Antecedentes'!$Q$9,"")</f>
        <v>Opinión de valor comercial</v>
      </c>
      <c r="J2" s="22"/>
      <c r="K2" s="22"/>
      <c r="L2" s="22"/>
      <c r="M2" s="23"/>
      <c r="N2" s="24"/>
      <c r="O2" s="24"/>
      <c r="P2" s="24"/>
      <c r="Q2" s="24"/>
      <c r="R2" s="24"/>
      <c r="S2" s="24"/>
      <c r="T2" s="24"/>
      <c r="U2" s="24"/>
    </row>
    <row r="3" spans="1:21" ht="12" customHeight="1" x14ac:dyDescent="0.25">
      <c r="A3" s="149"/>
      <c r="B3" s="149"/>
      <c r="C3" s="25"/>
      <c r="D3" s="25"/>
      <c r="E3" s="25"/>
      <c r="F3" s="25"/>
      <c r="G3" s="25"/>
      <c r="H3" s="25"/>
      <c r="I3" s="22"/>
      <c r="J3" s="22"/>
      <c r="K3" s="22"/>
      <c r="L3" s="22"/>
      <c r="M3" s="23"/>
      <c r="N3" s="24"/>
      <c r="O3" s="24"/>
      <c r="P3" s="24"/>
      <c r="Q3" s="24"/>
      <c r="R3" s="24"/>
      <c r="S3" s="24"/>
      <c r="T3" s="24"/>
      <c r="U3" s="24"/>
    </row>
    <row r="4" spans="1:21" ht="8.1" customHeight="1" thickBot="1" x14ac:dyDescent="0.3">
      <c r="A4" s="351"/>
      <c r="B4" s="351"/>
      <c r="C4" s="351"/>
      <c r="D4" s="150"/>
      <c r="E4" s="150"/>
      <c r="F4" s="150"/>
      <c r="G4" s="150"/>
      <c r="H4" s="150"/>
      <c r="I4" s="150"/>
      <c r="J4" s="150"/>
      <c r="K4" s="150"/>
      <c r="L4" s="150"/>
      <c r="M4" s="23"/>
      <c r="N4" s="24"/>
      <c r="O4" s="24"/>
      <c r="P4" s="24"/>
      <c r="Q4" s="24"/>
      <c r="R4" s="24"/>
      <c r="S4" s="24"/>
      <c r="T4" s="24"/>
      <c r="U4" s="24"/>
    </row>
    <row r="5" spans="1:21" ht="3" customHeight="1" x14ac:dyDescent="0.2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3"/>
      <c r="N5" s="68"/>
      <c r="O5" s="24"/>
      <c r="P5" s="24"/>
      <c r="Q5" s="24"/>
      <c r="R5" s="24"/>
      <c r="S5" s="24"/>
      <c r="T5" s="24"/>
      <c r="U5" s="24"/>
    </row>
    <row r="6" spans="1:21" ht="6.95" customHeight="1" x14ac:dyDescent="0.25">
      <c r="A6" s="149"/>
      <c r="B6" s="149"/>
      <c r="C6" s="149"/>
      <c r="D6" s="149"/>
      <c r="E6" s="149"/>
      <c r="F6" s="149"/>
      <c r="G6" s="149"/>
      <c r="H6" s="149"/>
      <c r="I6" s="149"/>
      <c r="J6" s="149"/>
      <c r="K6" s="149"/>
      <c r="L6" s="149"/>
      <c r="M6" s="23"/>
      <c r="N6" s="68"/>
      <c r="O6" s="24"/>
      <c r="P6" s="24"/>
      <c r="Q6" s="24"/>
      <c r="R6" s="24"/>
      <c r="S6" s="24"/>
      <c r="T6" s="24"/>
      <c r="U6" s="24"/>
    </row>
    <row r="7" spans="1:21" ht="21.95" customHeight="1" x14ac:dyDescent="0.25">
      <c r="A7" s="28" t="s">
        <v>142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3"/>
      <c r="N7" s="29" t="s">
        <v>324</v>
      </c>
      <c r="O7" s="29"/>
      <c r="P7" s="29"/>
      <c r="Q7" s="29"/>
      <c r="R7" s="29"/>
      <c r="S7" s="29"/>
      <c r="T7" s="29"/>
      <c r="U7" s="29"/>
    </row>
    <row r="8" spans="1:21" ht="14.1" customHeight="1" x14ac:dyDescent="0.25">
      <c r="A8" s="361" t="s">
        <v>143</v>
      </c>
      <c r="B8" s="151"/>
      <c r="C8" s="151"/>
      <c r="D8" s="151"/>
      <c r="E8" s="151"/>
      <c r="F8" s="151"/>
      <c r="G8" s="151"/>
      <c r="H8" s="151"/>
      <c r="I8" s="151"/>
      <c r="J8" s="151"/>
      <c r="K8" s="151"/>
      <c r="L8" s="151"/>
      <c r="M8" s="23"/>
      <c r="N8" s="35" t="s">
        <v>249</v>
      </c>
      <c r="O8" s="35"/>
      <c r="P8" s="35"/>
      <c r="Q8" s="71"/>
      <c r="R8" s="71"/>
      <c r="S8" s="71"/>
      <c r="T8" s="71"/>
      <c r="U8" s="71"/>
    </row>
    <row r="9" spans="1:21" ht="6" customHeight="1" x14ac:dyDescent="0.25">
      <c r="A9" s="152"/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23"/>
      <c r="N9" s="24"/>
      <c r="O9" s="24"/>
      <c r="P9" s="24"/>
      <c r="Q9" s="24"/>
      <c r="R9" s="24"/>
      <c r="S9" s="24"/>
      <c r="T9" s="24"/>
      <c r="U9" s="24"/>
    </row>
    <row r="10" spans="1:21" ht="16.5" customHeight="1" x14ac:dyDescent="0.25">
      <c r="A10" s="293" t="s">
        <v>342</v>
      </c>
      <c r="B10" s="153"/>
      <c r="C10" s="153"/>
      <c r="D10" s="153"/>
      <c r="E10" s="153"/>
      <c r="F10" s="153"/>
      <c r="G10" s="153"/>
      <c r="H10" s="153"/>
      <c r="I10" s="153"/>
      <c r="J10" s="153"/>
      <c r="K10" s="153"/>
      <c r="L10" s="154"/>
      <c r="M10" s="23"/>
      <c r="N10" s="29" t="s">
        <v>335</v>
      </c>
      <c r="O10" s="29"/>
      <c r="P10" s="29"/>
      <c r="Q10" s="29"/>
      <c r="R10" s="29"/>
      <c r="S10" s="29"/>
      <c r="T10" s="29"/>
      <c r="U10" s="29"/>
    </row>
    <row r="11" spans="1:21" ht="33.950000000000003" customHeight="1" x14ac:dyDescent="0.25">
      <c r="A11" s="311" t="s">
        <v>126</v>
      </c>
      <c r="B11" s="156" t="s">
        <v>127</v>
      </c>
      <c r="C11" s="157"/>
      <c r="D11" s="155" t="s">
        <v>250</v>
      </c>
      <c r="E11" s="155" t="s">
        <v>283</v>
      </c>
      <c r="F11" s="155" t="s">
        <v>144</v>
      </c>
      <c r="G11" s="155" t="s">
        <v>129</v>
      </c>
      <c r="H11" s="155" t="s">
        <v>140</v>
      </c>
      <c r="I11" s="155" t="s">
        <v>131</v>
      </c>
      <c r="J11" s="155" t="s">
        <v>132</v>
      </c>
      <c r="K11" s="155" t="s">
        <v>133</v>
      </c>
      <c r="L11" s="155" t="s">
        <v>134</v>
      </c>
      <c r="M11" s="23"/>
      <c r="N11" s="35" t="s">
        <v>252</v>
      </c>
      <c r="O11" s="35"/>
      <c r="P11" s="35"/>
      <c r="Q11" s="71" t="s">
        <v>228</v>
      </c>
      <c r="R11" s="71"/>
      <c r="S11" s="71"/>
      <c r="T11" s="71"/>
      <c r="U11" s="71"/>
    </row>
    <row r="12" spans="1:21" ht="18" customHeight="1" x14ac:dyDescent="0.25">
      <c r="A12" s="158">
        <v>1</v>
      </c>
      <c r="B12" s="159"/>
      <c r="C12" s="159"/>
      <c r="D12" s="160"/>
      <c r="E12" s="161" t="str">
        <f>IF(AND(ISNUMBER(Q18),Q18&gt;0),Q18*IF(Q17="USD",'2. Antecedentes'!$Q$16,1),"")</f>
        <v/>
      </c>
      <c r="F12" s="162" t="str">
        <f>IF(ISNUMBER(E12),E12/D12,"")</f>
        <v/>
      </c>
      <c r="G12" s="163"/>
      <c r="H12" s="163"/>
      <c r="I12" s="163"/>
      <c r="J12" s="163"/>
      <c r="K12" s="164" t="str">
        <f>IF(ISNUMBER(E12),PRODUCT(G12:J12),"")</f>
        <v/>
      </c>
      <c r="L12" s="165" t="str">
        <f>IF(AND(ISNUMBER(F12),ISNUMBER(K12)),F12*K12,"")</f>
        <v/>
      </c>
      <c r="M12" s="23"/>
      <c r="N12" s="35" t="s">
        <v>253</v>
      </c>
      <c r="O12" s="35"/>
      <c r="P12" s="35"/>
      <c r="Q12" s="71"/>
      <c r="R12" s="71"/>
      <c r="S12" s="71"/>
      <c r="T12" s="71"/>
      <c r="U12" s="71"/>
    </row>
    <row r="13" spans="1:21" ht="18" customHeight="1" x14ac:dyDescent="0.25">
      <c r="A13" s="158">
        <v>2</v>
      </c>
      <c r="B13" s="159"/>
      <c r="C13" s="159"/>
      <c r="D13" s="160"/>
      <c r="E13" s="161" t="str">
        <f>IF(AND(ISNUMBER(Q37),Q37&gt;0),Q37*IF(Q36="USD",'2. Antecedentes'!$Q$16,1),"")</f>
        <v/>
      </c>
      <c r="F13" s="162" t="str">
        <f>IF(ISNUMBER(E13),E13/D13,"")</f>
        <v/>
      </c>
      <c r="G13" s="163"/>
      <c r="H13" s="163"/>
      <c r="I13" s="163"/>
      <c r="J13" s="163"/>
      <c r="K13" s="164" t="str">
        <f>IF(ISNUMBER(E13),PRODUCT(G13:J13),"")</f>
        <v/>
      </c>
      <c r="L13" s="165" t="str">
        <f>IF(AND(ISNUMBER(F13),ISNUMBER(K13)),F13*K13,"")</f>
        <v/>
      </c>
      <c r="M13" s="23"/>
      <c r="N13" s="35" t="s">
        <v>254</v>
      </c>
      <c r="O13" s="35"/>
      <c r="P13" s="35"/>
      <c r="Q13" s="71"/>
      <c r="R13" s="71"/>
      <c r="S13" s="71"/>
      <c r="T13" s="71"/>
      <c r="U13" s="71"/>
    </row>
    <row r="14" spans="1:21" ht="18" customHeight="1" x14ac:dyDescent="0.25">
      <c r="A14" s="158">
        <v>3</v>
      </c>
      <c r="B14" s="159"/>
      <c r="C14" s="159"/>
      <c r="D14" s="160"/>
      <c r="E14" s="161" t="str">
        <f>IF(AND(ISNUMBER(Q56),Q56&gt;0),Q56*IF(Q55="USD",'2. Antecedentes'!$Q$16,1),"")</f>
        <v/>
      </c>
      <c r="F14" s="162" t="str">
        <f>IF(ISNUMBER(E14),E14/D14,"")</f>
        <v/>
      </c>
      <c r="G14" s="163"/>
      <c r="H14" s="163"/>
      <c r="I14" s="163"/>
      <c r="J14" s="163"/>
      <c r="K14" s="164" t="str">
        <f>IF(ISNUMBER(E14),PRODUCT(G14:J14),"")</f>
        <v/>
      </c>
      <c r="L14" s="165" t="str">
        <f>IF(AND(ISNUMBER(F14),ISNUMBER(K14)),F14*K14,"")</f>
        <v/>
      </c>
      <c r="M14" s="23"/>
      <c r="N14" s="35" t="s">
        <v>255</v>
      </c>
      <c r="O14" s="35"/>
      <c r="P14" s="35"/>
      <c r="Q14" s="76"/>
      <c r="R14" s="76"/>
      <c r="S14" s="76"/>
      <c r="T14" s="76"/>
      <c r="U14" s="76"/>
    </row>
    <row r="15" spans="1:21" ht="18" customHeight="1" x14ac:dyDescent="0.25">
      <c r="A15" s="158">
        <v>4</v>
      </c>
      <c r="B15" s="159"/>
      <c r="C15" s="159"/>
      <c r="D15" s="160"/>
      <c r="E15" s="161" t="str">
        <f>IF(AND(ISNUMBER(Q75),Q75&gt;0),Q75*IF(Q74="USD",'2. Antecedentes'!$Q$16,1),"")</f>
        <v/>
      </c>
      <c r="F15" s="162" t="str">
        <f>IF(ISNUMBER(E15),E15/D15,"")</f>
        <v/>
      </c>
      <c r="G15" s="163"/>
      <c r="H15" s="163"/>
      <c r="I15" s="163"/>
      <c r="J15" s="163"/>
      <c r="K15" s="164" t="str">
        <f>IF(ISNUMBER(E15),PRODUCT(G15:J15),"")</f>
        <v/>
      </c>
      <c r="L15" s="165" t="str">
        <f>IF(AND(ISNUMBER(F15),ISNUMBER(K15)),F15*K15,"")</f>
        <v/>
      </c>
      <c r="M15" s="23"/>
      <c r="N15" s="35" t="s">
        <v>256</v>
      </c>
      <c r="O15" s="35"/>
      <c r="P15" s="35"/>
      <c r="Q15" s="76"/>
      <c r="R15" s="76"/>
      <c r="S15" s="76"/>
      <c r="T15" s="76"/>
      <c r="U15" s="76"/>
    </row>
    <row r="16" spans="1:21" ht="18" customHeight="1" x14ac:dyDescent="0.25">
      <c r="A16" s="313">
        <v>5</v>
      </c>
      <c r="B16" s="166"/>
      <c r="C16" s="167"/>
      <c r="D16" s="160"/>
      <c r="E16" s="161" t="str">
        <f>IF(AND(ISNUMBER(Q94),Q94&gt;0),Q94*IF(Q93="USD",'2. Antecedentes'!$Q$16,1),"")</f>
        <v/>
      </c>
      <c r="F16" s="162" t="str">
        <f>IF(ISNUMBER(E16),E16/D16,"")</f>
        <v/>
      </c>
      <c r="G16" s="163"/>
      <c r="H16" s="163"/>
      <c r="I16" s="163"/>
      <c r="J16" s="163"/>
      <c r="K16" s="164" t="str">
        <f>IF(ISNUMBER(E16),PRODUCT(G16:J16),"")</f>
        <v/>
      </c>
      <c r="L16" s="315" t="str">
        <f>IF(AND(ISNUMBER(F16),ISNUMBER(K16)),F16*K16,"")</f>
        <v/>
      </c>
      <c r="M16" s="23"/>
      <c r="N16" s="35" t="s">
        <v>257</v>
      </c>
      <c r="O16" s="35"/>
      <c r="P16" s="35"/>
      <c r="Q16" s="71"/>
      <c r="R16" s="71"/>
      <c r="S16" s="71"/>
      <c r="T16" s="71"/>
      <c r="U16" s="71"/>
    </row>
    <row r="17" spans="1:21" ht="16.5" customHeight="1" x14ac:dyDescent="0.25">
      <c r="A17" s="317" t="s">
        <v>145</v>
      </c>
      <c r="B17" s="312"/>
      <c r="C17" s="168"/>
      <c r="D17" s="168"/>
      <c r="E17" s="168"/>
      <c r="F17" s="168"/>
      <c r="G17" s="168"/>
      <c r="H17" s="168"/>
      <c r="I17" s="168"/>
      <c r="J17" s="168"/>
      <c r="K17" s="314"/>
      <c r="L17" s="320" t="str">
        <f>IF(COUNT(L12:L16)&gt;=3,AVERAGE(L12:L16),"")</f>
        <v/>
      </c>
      <c r="M17" s="23"/>
      <c r="N17" s="35" t="s">
        <v>60</v>
      </c>
      <c r="O17" s="35"/>
      <c r="P17" s="35"/>
      <c r="Q17" s="71"/>
      <c r="R17" s="71"/>
      <c r="S17" s="71"/>
      <c r="T17" s="71"/>
      <c r="U17" s="71"/>
    </row>
    <row r="18" spans="1:21" ht="16.5" customHeight="1" x14ac:dyDescent="0.25">
      <c r="A18" s="324" t="s">
        <v>284</v>
      </c>
      <c r="B18" s="316"/>
      <c r="C18" s="169"/>
      <c r="D18" s="169"/>
      <c r="E18" s="169"/>
      <c r="F18" s="169"/>
      <c r="G18" s="169"/>
      <c r="H18" s="169"/>
      <c r="I18" s="169"/>
      <c r="J18" s="169"/>
      <c r="K18" s="319"/>
      <c r="L18" s="318" t="str">
        <f>IF(AND(ISNUMBER('4. Inmueble'!Q16),'4. Inmueble'!Q16&gt;0,ISNUMBER(L17)),'4. Inmueble'!Q16*L17,"")</f>
        <v/>
      </c>
      <c r="M18" s="23"/>
      <c r="N18" s="35" t="s">
        <v>258</v>
      </c>
      <c r="O18" s="35"/>
      <c r="P18" s="35"/>
      <c r="Q18" s="137"/>
      <c r="R18" s="137"/>
      <c r="S18" s="137"/>
      <c r="T18" s="137"/>
      <c r="U18" s="137"/>
    </row>
    <row r="19" spans="1:21" ht="18" customHeight="1" x14ac:dyDescent="0.25">
      <c r="A19" s="322" t="s">
        <v>146</v>
      </c>
      <c r="B19" s="323"/>
      <c r="C19" s="170"/>
      <c r="D19" s="170"/>
      <c r="E19" s="170"/>
      <c r="F19" s="170"/>
      <c r="G19" s="170"/>
      <c r="H19" s="170"/>
      <c r="I19" s="170"/>
      <c r="J19" s="170"/>
      <c r="K19" s="170"/>
      <c r="L19" s="321"/>
      <c r="M19" s="23"/>
      <c r="N19" s="35" t="s">
        <v>259</v>
      </c>
      <c r="O19" s="35"/>
      <c r="P19" s="35"/>
      <c r="Q19" s="71"/>
      <c r="R19" s="71"/>
      <c r="S19" s="71"/>
      <c r="T19" s="71"/>
      <c r="U19" s="71"/>
    </row>
    <row r="20" spans="1:21" ht="17.100000000000001" customHeight="1" x14ac:dyDescent="0.25">
      <c r="A20" s="325" t="s">
        <v>147</v>
      </c>
      <c r="B20" s="171"/>
      <c r="C20" s="171"/>
      <c r="D20" s="171"/>
      <c r="E20" s="171"/>
      <c r="F20" s="171"/>
      <c r="G20" s="171"/>
      <c r="H20" s="172" t="str">
        <f>IF(L18="","",L18)</f>
        <v/>
      </c>
      <c r="I20" s="173"/>
      <c r="J20" s="173"/>
      <c r="K20" s="173"/>
      <c r="L20" s="173"/>
      <c r="M20" s="23"/>
      <c r="N20" s="35" t="s">
        <v>261</v>
      </c>
      <c r="O20" s="35"/>
      <c r="P20" s="35"/>
      <c r="Q20" s="71"/>
      <c r="R20" s="71"/>
      <c r="S20" s="71"/>
      <c r="T20" s="71"/>
      <c r="U20" s="71"/>
    </row>
    <row r="21" spans="1:21" ht="17.100000000000001" customHeight="1" x14ac:dyDescent="0.25">
      <c r="A21" s="171" t="s">
        <v>148</v>
      </c>
      <c r="B21" s="171"/>
      <c r="C21" s="171"/>
      <c r="D21" s="171"/>
      <c r="E21" s="171"/>
      <c r="F21" s="171"/>
      <c r="G21" s="171"/>
      <c r="H21" s="174" t="str">
        <f>IF(ISNUMBER(H20),H20*12,"")</f>
        <v/>
      </c>
      <c r="I21" s="175"/>
      <c r="J21" s="175"/>
      <c r="K21" s="175"/>
      <c r="L21" s="175"/>
      <c r="M21" s="23"/>
      <c r="N21" s="35" t="s">
        <v>262</v>
      </c>
      <c r="O21" s="35"/>
      <c r="P21" s="35"/>
      <c r="Q21" s="71"/>
      <c r="R21" s="71"/>
      <c r="S21" s="71"/>
      <c r="T21" s="71"/>
      <c r="U21" s="71"/>
    </row>
    <row r="22" spans="1:21" ht="6" customHeight="1" x14ac:dyDescent="0.25">
      <c r="A22" s="149"/>
      <c r="B22" s="149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23"/>
      <c r="N22" s="35" t="s">
        <v>263</v>
      </c>
      <c r="O22" s="35"/>
      <c r="P22" s="35"/>
      <c r="Q22" s="71"/>
      <c r="R22" s="71"/>
      <c r="S22" s="71"/>
      <c r="T22" s="71"/>
      <c r="U22" s="71"/>
    </row>
    <row r="23" spans="1:21" ht="18" customHeight="1" x14ac:dyDescent="0.25">
      <c r="A23" s="295" t="s">
        <v>149</v>
      </c>
      <c r="B23" s="323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23"/>
      <c r="N23" s="35" t="s">
        <v>264</v>
      </c>
      <c r="O23" s="35"/>
      <c r="P23" s="35"/>
      <c r="Q23" s="71"/>
      <c r="R23" s="71"/>
      <c r="S23" s="71"/>
      <c r="T23" s="71"/>
      <c r="U23" s="71"/>
    </row>
    <row r="24" spans="1:21" ht="17.100000000000001" customHeight="1" x14ac:dyDescent="0.25">
      <c r="A24" s="325" t="s">
        <v>150</v>
      </c>
      <c r="B24" s="171"/>
      <c r="C24" s="171"/>
      <c r="D24" s="171"/>
      <c r="E24" s="171"/>
      <c r="F24" s="171"/>
      <c r="G24" s="171"/>
      <c r="H24" s="176"/>
      <c r="I24" s="177"/>
      <c r="J24" s="177"/>
      <c r="K24" s="177"/>
      <c r="L24" s="177"/>
      <c r="M24" s="23"/>
      <c r="N24" s="35" t="s">
        <v>265</v>
      </c>
      <c r="O24" s="35"/>
      <c r="P24" s="35"/>
      <c r="Q24" s="71"/>
      <c r="R24" s="71"/>
      <c r="S24" s="71"/>
      <c r="T24" s="71"/>
      <c r="U24" s="71"/>
    </row>
    <row r="25" spans="1:21" ht="17.100000000000001" customHeight="1" x14ac:dyDescent="0.25">
      <c r="A25" s="171" t="s">
        <v>151</v>
      </c>
      <c r="B25" s="171"/>
      <c r="C25" s="171"/>
      <c r="D25" s="171"/>
      <c r="E25" s="171"/>
      <c r="F25" s="171"/>
      <c r="G25" s="171"/>
      <c r="H25" s="174" t="str">
        <f>IF(AND(ISNUMBER(H21),ISNUMBER(H24),H24&gt;=0,H24&lt;1),H21*H24,"")</f>
        <v/>
      </c>
      <c r="I25" s="175"/>
      <c r="J25" s="175"/>
      <c r="K25" s="175"/>
      <c r="L25" s="175"/>
      <c r="M25" s="23"/>
      <c r="N25" s="35" t="s">
        <v>266</v>
      </c>
      <c r="O25" s="35"/>
      <c r="P25" s="35"/>
      <c r="Q25" s="71" t="str">
        <f>IF(Q11="Excluir",IF(Q24="","Explicar exclusión","Excluido"),IF(Q11&lt;&gt;"Incluir","Pendiente",IF(OR(B12="",Q12="",Q13="",Q19="",Q20="",Q21="",Q22="",Q23="",Q24=""),"Completar fuentes y ajustes",IF(OR(NOT(ISNUMBER(Q14)),NOT(ISNUMBER(Q15))),"Faltan fechas",IF(OR(Q14&lt;=0,Q15&lt;=0,Q14&gt;'2. Antecedentes'!$E$25,Q15&gt;'2. Antecedentes'!$Q$10),"Revisar fechas",IF(OR($Q$8="",Q16&lt;&gt;$Q$8),"No mezclar tipos de precio",IF(OR(AND(Q30="Incluir",OR(Q31=Q12,Q32=Q13)),AND(Q49="Incluir",OR(Q50=Q12,Q51=Q13)),AND(Q68="Incluir",OR(Q69=Q12,Q70=Q13)),AND(Q87="Incluir",OR(Q88=Q12,Q89=Q13))),"Fuente duplicada",IF(OR(NOT(ISNUMBER(D12)),D12&lt;=0,NOT(ISNUMBER(Q18)),Q18&lt;=0),"Falta precio o superficie",IF(AND(Q17&lt;&gt;"MXN",Q17&lt;&gt;"USD"),"Falta moneda",IF(AND(Q17="USD",OR(NOT(ISNUMBER('2. Antecedentes'!$Q$16)),'2. Antecedentes'!$Q$16&lt;=0,NOT(ISNUMBER('2. Antecedentes'!$Q$17)),'2. Antecedentes'!$Q$17&lt;=0,'2. Antecedentes'!$Q$17&gt;'2. Antecedentes'!$Q$10,'2. Antecedentes'!$Q$18="")),"Falta conversión USD",IF(OR(COUNT(G12:J12)&lt;&gt;4,MIN(G12:J12)&lt;=0),"Completar factores","Incluido")))))))))))</f>
        <v>Pendiente</v>
      </c>
      <c r="R25" s="71"/>
      <c r="S25" s="71"/>
      <c r="T25" s="71"/>
      <c r="U25" s="71"/>
    </row>
    <row r="26" spans="1:21" ht="17.100000000000001" customHeight="1" x14ac:dyDescent="0.25">
      <c r="A26" s="171" t="s">
        <v>152</v>
      </c>
      <c r="B26" s="171"/>
      <c r="C26" s="171"/>
      <c r="D26" s="171"/>
      <c r="E26" s="171"/>
      <c r="F26" s="171"/>
      <c r="G26" s="171"/>
      <c r="H26" s="174" t="str">
        <f>IF(AND(ISNUMBER(H21),ISNUMBER(H25)),H21-H25,"")</f>
        <v/>
      </c>
      <c r="I26" s="175"/>
      <c r="J26" s="175"/>
      <c r="K26" s="175"/>
      <c r="L26" s="175"/>
      <c r="M26" s="23"/>
      <c r="N26" s="24"/>
      <c r="O26" s="24"/>
      <c r="P26" s="24"/>
      <c r="Q26" s="24"/>
      <c r="R26" s="24"/>
      <c r="S26" s="24"/>
      <c r="T26" s="24"/>
      <c r="U26" s="24"/>
    </row>
    <row r="27" spans="1:21" ht="17.100000000000001" customHeight="1" x14ac:dyDescent="0.25">
      <c r="A27" s="171" t="s">
        <v>153</v>
      </c>
      <c r="B27" s="171"/>
      <c r="C27" s="171"/>
      <c r="D27" s="171"/>
      <c r="E27" s="171"/>
      <c r="F27" s="171"/>
      <c r="G27" s="171"/>
      <c r="H27" s="176"/>
      <c r="I27" s="177"/>
      <c r="J27" s="177"/>
      <c r="K27" s="177"/>
      <c r="L27" s="177"/>
      <c r="M27" s="23"/>
      <c r="N27" s="288" t="str">
        <f>IF(ISNUMBER(L17),"Fuentes completas: "&amp;COUNT(L12:L16)&amp;". Revisar pertinencia y dispersión.","Pendiente: mínimo 3 fuentes completas y ninguna seleccionada con errores.")</f>
        <v>Pendiente: mínimo 3 fuentes completas y ninguna seleccionada con errores.</v>
      </c>
      <c r="O27" s="24"/>
      <c r="P27" s="24"/>
      <c r="Q27" s="24"/>
      <c r="R27" s="24"/>
      <c r="S27" s="24"/>
      <c r="T27" s="24"/>
      <c r="U27" s="24"/>
    </row>
    <row r="28" spans="1:21" ht="17.100000000000001" customHeight="1" x14ac:dyDescent="0.25">
      <c r="A28" s="171" t="s">
        <v>154</v>
      </c>
      <c r="B28" s="171"/>
      <c r="C28" s="171"/>
      <c r="D28" s="171"/>
      <c r="E28" s="171"/>
      <c r="F28" s="171"/>
      <c r="G28" s="171"/>
      <c r="H28" s="174" t="str">
        <f>IF(AND(ISNUMBER(H26),ISNUMBER(H27),H27&gt;=0,H27&lt;1),H26*H27,"")</f>
        <v/>
      </c>
      <c r="I28" s="175"/>
      <c r="J28" s="175"/>
      <c r="K28" s="175"/>
      <c r="L28" s="175"/>
      <c r="M28" s="23"/>
      <c r="N28" s="24"/>
      <c r="O28" s="24"/>
      <c r="P28" s="24"/>
      <c r="Q28" s="24"/>
      <c r="R28" s="24"/>
      <c r="S28" s="24"/>
      <c r="T28" s="24"/>
      <c r="U28" s="24"/>
    </row>
    <row r="29" spans="1:21" ht="6" customHeight="1" x14ac:dyDescent="0.25">
      <c r="A29" s="149"/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23"/>
      <c r="N29" s="29" t="s">
        <v>336</v>
      </c>
      <c r="O29" s="29"/>
      <c r="P29" s="29"/>
      <c r="Q29" s="29"/>
      <c r="R29" s="29"/>
      <c r="S29" s="29"/>
      <c r="T29" s="29"/>
      <c r="U29" s="29"/>
    </row>
    <row r="30" spans="1:21" ht="18" customHeight="1" x14ac:dyDescent="0.25">
      <c r="A30" s="295" t="s">
        <v>155</v>
      </c>
      <c r="B30" s="323"/>
      <c r="C30" s="170"/>
      <c r="D30" s="170"/>
      <c r="E30" s="170"/>
      <c r="F30" s="170"/>
      <c r="G30" s="170"/>
      <c r="H30" s="170"/>
      <c r="I30" s="170"/>
      <c r="J30" s="170"/>
      <c r="K30" s="170"/>
      <c r="L30" s="170"/>
      <c r="M30" s="23"/>
      <c r="N30" s="35" t="s">
        <v>252</v>
      </c>
      <c r="O30" s="35"/>
      <c r="P30" s="35"/>
      <c r="Q30" s="71" t="s">
        <v>228</v>
      </c>
      <c r="R30" s="71"/>
      <c r="S30" s="71"/>
      <c r="T30" s="71"/>
      <c r="U30" s="71"/>
    </row>
    <row r="31" spans="1:21" ht="17.100000000000001" customHeight="1" x14ac:dyDescent="0.25">
      <c r="A31" s="325" t="s">
        <v>156</v>
      </c>
      <c r="B31" s="171"/>
      <c r="C31" s="171"/>
      <c r="D31" s="171"/>
      <c r="E31" s="171"/>
      <c r="F31" s="171"/>
      <c r="G31" s="171"/>
      <c r="H31" s="174" t="str">
        <f>IF(AND(ISNUMBER(H26),ISNUMBER(H28)),H26-H28,"")</f>
        <v/>
      </c>
      <c r="I31" s="175"/>
      <c r="J31" s="175"/>
      <c r="K31" s="175"/>
      <c r="L31" s="175"/>
      <c r="M31" s="23"/>
      <c r="N31" s="35" t="s">
        <v>253</v>
      </c>
      <c r="O31" s="35"/>
      <c r="P31" s="35"/>
      <c r="Q31" s="71"/>
      <c r="R31" s="71"/>
      <c r="S31" s="71"/>
      <c r="T31" s="71"/>
      <c r="U31" s="71"/>
    </row>
    <row r="32" spans="1:21" ht="17.100000000000001" customHeight="1" x14ac:dyDescent="0.25">
      <c r="A32" s="171" t="s">
        <v>157</v>
      </c>
      <c r="B32" s="171"/>
      <c r="C32" s="171"/>
      <c r="D32" s="171"/>
      <c r="E32" s="171"/>
      <c r="F32" s="171"/>
      <c r="G32" s="171"/>
      <c r="H32" s="176"/>
      <c r="I32" s="177"/>
      <c r="J32" s="177"/>
      <c r="K32" s="177"/>
      <c r="L32" s="177"/>
      <c r="M32" s="23"/>
      <c r="N32" s="35" t="s">
        <v>254</v>
      </c>
      <c r="O32" s="35"/>
      <c r="P32" s="35"/>
      <c r="Q32" s="71"/>
      <c r="R32" s="71"/>
      <c r="S32" s="71"/>
      <c r="T32" s="71"/>
      <c r="U32" s="71"/>
    </row>
    <row r="33" spans="1:21" ht="6" customHeight="1" thickBot="1" x14ac:dyDescent="0.3">
      <c r="A33" s="149"/>
      <c r="B33" s="149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23"/>
      <c r="N33" s="35" t="s">
        <v>255</v>
      </c>
      <c r="O33" s="35"/>
      <c r="P33" s="35"/>
      <c r="Q33" s="76"/>
      <c r="R33" s="76"/>
      <c r="S33" s="76"/>
      <c r="T33" s="76"/>
      <c r="U33" s="76"/>
    </row>
    <row r="34" spans="1:21" ht="24" customHeight="1" thickBot="1" x14ac:dyDescent="0.3">
      <c r="A34" s="329" t="s">
        <v>158</v>
      </c>
      <c r="B34" s="178"/>
      <c r="C34" s="178"/>
      <c r="D34" s="178"/>
      <c r="E34" s="178"/>
      <c r="F34" s="178"/>
      <c r="G34" s="178"/>
      <c r="H34" s="327" t="str">
        <f>IF(AND(ISNUMBER(H31),ISNUMBER(H32),H32&gt;0,H32&lt;1),H31/H32,"")</f>
        <v/>
      </c>
      <c r="I34" s="179"/>
      <c r="J34" s="179"/>
      <c r="K34" s="179"/>
      <c r="L34" s="179"/>
      <c r="M34" s="23"/>
      <c r="N34" s="35" t="s">
        <v>256</v>
      </c>
      <c r="O34" s="35"/>
      <c r="P34" s="35"/>
      <c r="Q34" s="76"/>
      <c r="R34" s="76"/>
      <c r="S34" s="76"/>
      <c r="T34" s="76"/>
      <c r="U34" s="76"/>
    </row>
    <row r="35" spans="1:21" ht="16.5" customHeight="1" x14ac:dyDescent="0.25">
      <c r="A35" s="328" t="s">
        <v>285</v>
      </c>
      <c r="B35" s="180"/>
      <c r="C35" s="180"/>
      <c r="D35" s="180"/>
      <c r="E35" s="180"/>
      <c r="F35" s="180"/>
      <c r="G35" s="180"/>
      <c r="H35" s="326"/>
      <c r="I35" s="180"/>
      <c r="J35" s="180"/>
      <c r="K35" s="180"/>
      <c r="L35" s="180"/>
      <c r="M35" s="23"/>
      <c r="N35" s="35" t="s">
        <v>257</v>
      </c>
      <c r="O35" s="35"/>
      <c r="P35" s="35"/>
      <c r="Q35" s="71"/>
      <c r="R35" s="71"/>
      <c r="S35" s="71"/>
      <c r="T35" s="71"/>
      <c r="U35" s="71"/>
    </row>
    <row r="36" spans="1:21" ht="12" customHeight="1" x14ac:dyDescent="0.25">
      <c r="A36" s="181"/>
      <c r="B36" s="182"/>
      <c r="C36" s="182"/>
      <c r="D36" s="182"/>
      <c r="E36" s="182"/>
      <c r="F36" s="182"/>
      <c r="G36" s="182"/>
      <c r="H36" s="182"/>
      <c r="I36" s="182"/>
      <c r="J36" s="182"/>
      <c r="K36" s="182"/>
      <c r="L36" s="183"/>
      <c r="M36" s="23"/>
      <c r="N36" s="35" t="s">
        <v>60</v>
      </c>
      <c r="O36" s="35"/>
      <c r="P36" s="35"/>
      <c r="Q36" s="71"/>
      <c r="R36" s="71"/>
      <c r="S36" s="71"/>
      <c r="T36" s="71"/>
      <c r="U36" s="71"/>
    </row>
    <row r="37" spans="1:21" ht="12" customHeight="1" x14ac:dyDescent="0.25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23"/>
      <c r="N37" s="35" t="s">
        <v>258</v>
      </c>
      <c r="O37" s="35"/>
      <c r="P37" s="35"/>
      <c r="Q37" s="137"/>
      <c r="R37" s="137"/>
      <c r="S37" s="137"/>
      <c r="T37" s="137"/>
      <c r="U37" s="137"/>
    </row>
    <row r="38" spans="1:21" ht="12" customHeight="1" x14ac:dyDescent="0.25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23"/>
      <c r="N38" s="35" t="s">
        <v>259</v>
      </c>
      <c r="O38" s="35"/>
      <c r="P38" s="35"/>
      <c r="Q38" s="71"/>
      <c r="R38" s="71"/>
      <c r="S38" s="71"/>
      <c r="T38" s="71"/>
      <c r="U38" s="71"/>
    </row>
    <row r="39" spans="1:21" ht="12" customHeight="1" x14ac:dyDescent="0.25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23"/>
      <c r="N39" s="35" t="s">
        <v>261</v>
      </c>
      <c r="O39" s="35"/>
      <c r="P39" s="35"/>
      <c r="Q39" s="71"/>
      <c r="R39" s="71"/>
      <c r="S39" s="71"/>
      <c r="T39" s="71"/>
      <c r="U39" s="71"/>
    </row>
    <row r="40" spans="1:21" ht="6" customHeight="1" x14ac:dyDescent="0.25">
      <c r="A40" s="149"/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23"/>
      <c r="N40" s="35" t="s">
        <v>262</v>
      </c>
      <c r="O40" s="35"/>
      <c r="P40" s="35"/>
      <c r="Q40" s="71"/>
      <c r="R40" s="71"/>
      <c r="S40" s="71"/>
      <c r="T40" s="71"/>
      <c r="U40" s="71"/>
    </row>
    <row r="41" spans="1:21" ht="18" customHeight="1" x14ac:dyDescent="0.25">
      <c r="A41" s="292" t="s">
        <v>341</v>
      </c>
      <c r="B41" s="292"/>
      <c r="C41" s="292"/>
      <c r="D41" s="292"/>
      <c r="E41" s="292"/>
      <c r="F41" s="292"/>
      <c r="G41" s="292"/>
      <c r="H41" s="292"/>
      <c r="I41" s="292"/>
      <c r="J41" s="292"/>
      <c r="K41" s="292"/>
      <c r="L41" s="292"/>
      <c r="M41" s="23"/>
      <c r="N41" s="35" t="s">
        <v>263</v>
      </c>
      <c r="O41" s="35"/>
      <c r="P41" s="35"/>
      <c r="Q41" s="71"/>
      <c r="R41" s="71"/>
      <c r="S41" s="71"/>
      <c r="T41" s="71"/>
      <c r="U41" s="71"/>
    </row>
    <row r="42" spans="1:21" x14ac:dyDescent="0.25">
      <c r="A42" s="35" t="s">
        <v>267</v>
      </c>
      <c r="B42" s="35"/>
      <c r="C42" s="35" t="s">
        <v>268</v>
      </c>
      <c r="D42" s="35"/>
      <c r="E42" s="35"/>
      <c r="F42" s="35"/>
      <c r="G42" s="35"/>
      <c r="H42" s="35"/>
      <c r="I42" s="35" t="s">
        <v>269</v>
      </c>
      <c r="J42" s="35"/>
      <c r="K42" s="35"/>
      <c r="L42" s="35"/>
      <c r="M42" s="23"/>
      <c r="N42" s="35" t="s">
        <v>264</v>
      </c>
      <c r="O42" s="35"/>
      <c r="P42" s="35"/>
      <c r="Q42" s="71"/>
      <c r="R42" s="71"/>
      <c r="S42" s="71"/>
      <c r="T42" s="71"/>
      <c r="U42" s="71"/>
    </row>
    <row r="43" spans="1:21" ht="17.100000000000001" customHeight="1" x14ac:dyDescent="0.25">
      <c r="A43" s="35" t="s">
        <v>286</v>
      </c>
      <c r="B43" s="35"/>
      <c r="C43" s="35" t="str">
        <f>IF(Q13="","",Q13)</f>
        <v/>
      </c>
      <c r="D43" s="35"/>
      <c r="E43" s="35"/>
      <c r="F43" s="35"/>
      <c r="G43" s="35"/>
      <c r="H43" s="35"/>
      <c r="I43" s="184" t="str">
        <f>IF(Q15="","",Q15)</f>
        <v/>
      </c>
      <c r="J43" s="184"/>
      <c r="K43" s="35"/>
      <c r="L43" s="35"/>
      <c r="M43" s="23"/>
      <c r="N43" s="35" t="s">
        <v>265</v>
      </c>
      <c r="O43" s="35"/>
      <c r="P43" s="35"/>
      <c r="Q43" s="71"/>
      <c r="R43" s="71"/>
      <c r="S43" s="71"/>
      <c r="T43" s="71"/>
      <c r="U43" s="71"/>
    </row>
    <row r="44" spans="1:21" ht="17.100000000000001" customHeight="1" x14ac:dyDescent="0.25">
      <c r="A44" s="35" t="s">
        <v>287</v>
      </c>
      <c r="B44" s="35"/>
      <c r="C44" s="35" t="str">
        <f>IF(Q32="","",Q32)</f>
        <v/>
      </c>
      <c r="D44" s="35"/>
      <c r="E44" s="35"/>
      <c r="F44" s="35"/>
      <c r="G44" s="35"/>
      <c r="H44" s="35"/>
      <c r="I44" s="184" t="str">
        <f>IF(Q34="","",Q34)</f>
        <v/>
      </c>
      <c r="J44" s="184"/>
      <c r="K44" s="35"/>
      <c r="L44" s="35"/>
      <c r="M44" s="23"/>
      <c r="N44" s="35" t="s">
        <v>266</v>
      </c>
      <c r="O44" s="35"/>
      <c r="P44" s="35"/>
      <c r="Q44" s="71" t="str">
        <f>IF(Q30="Excluir",IF(Q43="","Explicar exclusión","Excluido"),IF(Q30&lt;&gt;"Incluir","Pendiente",IF(OR(B13="",Q31="",Q32="",Q38="",Q39="",Q40="",Q41="",Q42="",Q43=""),"Completar fuentes y ajustes",IF(OR(NOT(ISNUMBER(Q33)),NOT(ISNUMBER(Q34))),"Faltan fechas",IF(OR(Q33&lt;=0,Q34&lt;=0,Q33&gt;'2. Antecedentes'!$E$25,Q34&gt;'2. Antecedentes'!$Q$10),"Revisar fechas",IF(OR($Q$8="",Q35&lt;&gt;$Q$8),"No mezclar tipos de precio",IF(OR(AND(Q11="Incluir",OR(Q12=Q31,Q13=Q32)),AND(Q49="Incluir",OR(Q50=Q31,Q51=Q32)),AND(Q68="Incluir",OR(Q69=Q31,Q70=Q32)),AND(Q87="Incluir",OR(Q88=Q31,Q89=Q32))),"Fuente duplicada",IF(OR(NOT(ISNUMBER(D13)),D13&lt;=0,NOT(ISNUMBER(Q37)),Q37&lt;=0),"Falta precio o superficie",IF(AND(Q36&lt;&gt;"MXN",Q36&lt;&gt;"USD"),"Falta moneda",IF(AND(Q36="USD",OR(NOT(ISNUMBER('2. Antecedentes'!$Q$16)),'2. Antecedentes'!$Q$16&lt;=0,NOT(ISNUMBER('2. Antecedentes'!$Q$17)),'2. Antecedentes'!$Q$17&lt;=0,'2. Antecedentes'!$Q$17&gt;'2. Antecedentes'!$Q$10,'2. Antecedentes'!$Q$18="")),"Falta conversión USD",IF(OR(COUNT(G13:J13)&lt;&gt;4,MIN(G13:J13)&lt;=0),"Completar factores","Incluido")))))))))))</f>
        <v>Pendiente</v>
      </c>
      <c r="R44" s="71"/>
      <c r="S44" s="71"/>
      <c r="T44" s="71"/>
      <c r="U44" s="71"/>
    </row>
    <row r="45" spans="1:21" ht="17.100000000000001" customHeight="1" x14ac:dyDescent="0.25">
      <c r="A45" s="35" t="s">
        <v>288</v>
      </c>
      <c r="B45" s="35"/>
      <c r="C45" s="35" t="str">
        <f>IF(Q51="","",Q51)</f>
        <v/>
      </c>
      <c r="D45" s="35"/>
      <c r="E45" s="35"/>
      <c r="F45" s="35"/>
      <c r="G45" s="35"/>
      <c r="H45" s="35"/>
      <c r="I45" s="184" t="str">
        <f>IF(Q53="","",Q53)</f>
        <v/>
      </c>
      <c r="J45" s="184"/>
      <c r="K45" s="35"/>
      <c r="L45" s="35"/>
      <c r="M45" s="23"/>
      <c r="N45" s="24"/>
      <c r="O45" s="24"/>
      <c r="P45" s="24"/>
      <c r="Q45" s="24"/>
      <c r="R45" s="24"/>
      <c r="S45" s="24"/>
      <c r="T45" s="24"/>
      <c r="U45" s="24"/>
    </row>
    <row r="46" spans="1:21" ht="17.100000000000001" customHeight="1" x14ac:dyDescent="0.25">
      <c r="A46" s="35" t="s">
        <v>289</v>
      </c>
      <c r="B46" s="35"/>
      <c r="C46" s="35" t="str">
        <f>IF(Q70="","",Q70)</f>
        <v/>
      </c>
      <c r="D46" s="35"/>
      <c r="E46" s="35"/>
      <c r="F46" s="35"/>
      <c r="G46" s="35"/>
      <c r="H46" s="35"/>
      <c r="I46" s="184" t="str">
        <f>IF(Q72="","",Q72)</f>
        <v/>
      </c>
      <c r="J46" s="184"/>
      <c r="K46" s="35"/>
      <c r="L46" s="35"/>
      <c r="M46" s="23"/>
      <c r="N46" s="24"/>
      <c r="O46" s="24"/>
      <c r="P46" s="24"/>
      <c r="Q46" s="24"/>
      <c r="R46" s="24"/>
      <c r="S46" s="24"/>
      <c r="T46" s="24"/>
      <c r="U46" s="24"/>
    </row>
    <row r="47" spans="1:21" ht="17.100000000000001" customHeight="1" x14ac:dyDescent="0.25">
      <c r="A47" s="35" t="s">
        <v>290</v>
      </c>
      <c r="B47" s="35"/>
      <c r="C47" s="35" t="str">
        <f>IF(Q89="","",Q89)</f>
        <v/>
      </c>
      <c r="D47" s="35"/>
      <c r="E47" s="35"/>
      <c r="F47" s="35"/>
      <c r="G47" s="35"/>
      <c r="H47" s="35"/>
      <c r="I47" s="184" t="str">
        <f>IF(Q91="","",Q91)</f>
        <v/>
      </c>
      <c r="J47" s="184"/>
      <c r="K47" s="35"/>
      <c r="L47" s="35"/>
      <c r="M47" s="23"/>
      <c r="N47" s="24"/>
      <c r="O47" s="24"/>
      <c r="P47" s="24"/>
      <c r="Q47" s="24"/>
      <c r="R47" s="24"/>
      <c r="S47" s="24"/>
      <c r="T47" s="24"/>
      <c r="U47" s="24"/>
    </row>
    <row r="48" spans="1:21" ht="6" customHeight="1" x14ac:dyDescent="0.25">
      <c r="A48" s="149"/>
      <c r="B48" s="149"/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23"/>
      <c r="N48" s="29" t="s">
        <v>337</v>
      </c>
      <c r="O48" s="29"/>
      <c r="P48" s="29"/>
      <c r="Q48" s="29"/>
      <c r="R48" s="29"/>
      <c r="S48" s="29"/>
      <c r="T48" s="29"/>
      <c r="U48" s="29"/>
    </row>
    <row r="49" spans="1:21" ht="26.1" customHeight="1" x14ac:dyDescent="0.25">
      <c r="A49" s="289"/>
      <c r="B49" s="289"/>
      <c r="C49" s="289"/>
      <c r="D49" s="289"/>
      <c r="E49" s="289"/>
      <c r="F49" s="289"/>
      <c r="G49" s="289"/>
      <c r="H49" s="289"/>
      <c r="I49" s="289"/>
      <c r="J49" s="289"/>
      <c r="K49" s="289"/>
      <c r="L49" s="289"/>
      <c r="M49" s="23"/>
      <c r="N49" s="35" t="s">
        <v>252</v>
      </c>
      <c r="O49" s="35"/>
      <c r="P49" s="35"/>
      <c r="Q49" s="71" t="s">
        <v>228</v>
      </c>
      <c r="R49" s="71"/>
      <c r="S49" s="71"/>
      <c r="T49" s="71"/>
      <c r="U49" s="71"/>
    </row>
    <row r="50" spans="1:2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23"/>
      <c r="N50" s="35" t="s">
        <v>253</v>
      </c>
      <c r="O50" s="35"/>
      <c r="P50" s="35"/>
      <c r="Q50" s="71"/>
      <c r="R50" s="71"/>
      <c r="S50" s="71"/>
      <c r="T50" s="71"/>
      <c r="U50" s="71"/>
    </row>
    <row r="51" spans="1:2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23"/>
      <c r="N51" s="35" t="s">
        <v>254</v>
      </c>
      <c r="O51" s="35"/>
      <c r="P51" s="35"/>
      <c r="Q51" s="71"/>
      <c r="R51" s="71"/>
      <c r="S51" s="71"/>
      <c r="T51" s="71"/>
      <c r="U51" s="71"/>
    </row>
    <row r="52" spans="1:2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23"/>
      <c r="N52" s="35" t="s">
        <v>255</v>
      </c>
      <c r="O52" s="35"/>
      <c r="P52" s="35"/>
      <c r="Q52" s="76"/>
      <c r="R52" s="76"/>
      <c r="S52" s="76"/>
      <c r="T52" s="76"/>
      <c r="U52" s="76"/>
    </row>
    <row r="53" spans="1:2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23"/>
      <c r="N53" s="35" t="s">
        <v>256</v>
      </c>
      <c r="O53" s="35"/>
      <c r="P53" s="35"/>
      <c r="Q53" s="76"/>
      <c r="R53" s="76"/>
      <c r="S53" s="76"/>
      <c r="T53" s="76"/>
      <c r="U53" s="76"/>
    </row>
    <row r="54" spans="1:2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23"/>
      <c r="N54" s="35" t="s">
        <v>257</v>
      </c>
      <c r="O54" s="35"/>
      <c r="P54" s="35"/>
      <c r="Q54" s="71"/>
      <c r="R54" s="71"/>
      <c r="S54" s="71"/>
      <c r="T54" s="71"/>
      <c r="U54" s="71"/>
    </row>
    <row r="55" spans="1:2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23"/>
      <c r="N55" s="35" t="s">
        <v>60</v>
      </c>
      <c r="O55" s="35"/>
      <c r="P55" s="35"/>
      <c r="Q55" s="71"/>
      <c r="R55" s="71"/>
      <c r="S55" s="71"/>
      <c r="T55" s="71"/>
      <c r="U55" s="71"/>
    </row>
    <row r="56" spans="1:2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23"/>
      <c r="N56" s="35" t="s">
        <v>258</v>
      </c>
      <c r="O56" s="35"/>
      <c r="P56" s="35"/>
      <c r="Q56" s="137"/>
      <c r="R56" s="137"/>
      <c r="S56" s="137"/>
      <c r="T56" s="137"/>
      <c r="U56" s="137"/>
    </row>
    <row r="57" spans="1:2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23"/>
      <c r="N57" s="35" t="s">
        <v>259</v>
      </c>
      <c r="O57" s="35"/>
      <c r="P57" s="35"/>
      <c r="Q57" s="71"/>
      <c r="R57" s="71"/>
      <c r="S57" s="71"/>
      <c r="T57" s="71"/>
      <c r="U57" s="71"/>
    </row>
    <row r="58" spans="1:2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23"/>
      <c r="N58" s="35" t="s">
        <v>261</v>
      </c>
      <c r="O58" s="35"/>
      <c r="P58" s="35"/>
      <c r="Q58" s="71"/>
      <c r="R58" s="71"/>
      <c r="S58" s="71"/>
      <c r="T58" s="71"/>
      <c r="U58" s="71"/>
    </row>
    <row r="59" spans="1:2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23"/>
      <c r="N59" s="35" t="s">
        <v>262</v>
      </c>
      <c r="O59" s="35"/>
      <c r="P59" s="35"/>
      <c r="Q59" s="71"/>
      <c r="R59" s="71"/>
      <c r="S59" s="71"/>
      <c r="T59" s="71"/>
      <c r="U59" s="71"/>
    </row>
    <row r="60" spans="1:2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23"/>
      <c r="N60" s="35" t="s">
        <v>263</v>
      </c>
      <c r="O60" s="35"/>
      <c r="P60" s="35"/>
      <c r="Q60" s="71"/>
      <c r="R60" s="71"/>
      <c r="S60" s="71"/>
      <c r="T60" s="71"/>
      <c r="U60" s="71"/>
    </row>
    <row r="61" spans="1:21" x14ac:dyDescent="0.25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35" t="s">
        <v>264</v>
      </c>
      <c r="O61" s="35"/>
      <c r="P61" s="35"/>
      <c r="Q61" s="71"/>
      <c r="R61" s="71"/>
      <c r="S61" s="71"/>
      <c r="T61" s="71"/>
      <c r="U61" s="71"/>
    </row>
    <row r="62" spans="1:21" x14ac:dyDescent="0.25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35" t="s">
        <v>265</v>
      </c>
      <c r="O62" s="35"/>
      <c r="P62" s="35"/>
      <c r="Q62" s="71"/>
      <c r="R62" s="71"/>
      <c r="S62" s="71"/>
      <c r="T62" s="71"/>
      <c r="U62" s="71"/>
    </row>
    <row r="63" spans="1:21" x14ac:dyDescent="0.25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35" t="s">
        <v>266</v>
      </c>
      <c r="O63" s="35"/>
      <c r="P63" s="35"/>
      <c r="Q63" s="71" t="str">
        <f>IF(Q49="Excluir",IF(Q62="","Explicar exclusión","Excluido"),IF(Q49&lt;&gt;"Incluir","Pendiente",IF(OR(B14="",Q50="",Q51="",Q57="",Q58="",Q59="",Q60="",Q61="",Q62=""),"Completar fuentes y ajustes",IF(OR(NOT(ISNUMBER(Q52)),NOT(ISNUMBER(Q53))),"Faltan fechas",IF(OR(Q52&lt;=0,Q53&lt;=0,Q52&gt;'2. Antecedentes'!$E$25,Q53&gt;'2. Antecedentes'!$Q$10),"Revisar fechas",IF(OR($Q$8="",Q54&lt;&gt;$Q$8),"No mezclar tipos de precio",IF(OR(AND(Q11="Incluir",OR(Q12=Q50,Q13=Q51)),AND(Q30="Incluir",OR(Q31=Q50,Q32=Q51)),AND(Q68="Incluir",OR(Q69=Q50,Q70=Q51)),AND(Q87="Incluir",OR(Q88=Q50,Q89=Q51))),"Fuente duplicada",IF(OR(NOT(ISNUMBER(D14)),D14&lt;=0,NOT(ISNUMBER(Q56)),Q56&lt;=0),"Falta precio o superficie",IF(AND(Q55&lt;&gt;"MXN",Q55&lt;&gt;"USD"),"Falta moneda",IF(AND(Q55="USD",OR(NOT(ISNUMBER('2. Antecedentes'!$Q$16)),'2. Antecedentes'!$Q$16&lt;=0,NOT(ISNUMBER('2. Antecedentes'!$Q$17)),'2. Antecedentes'!$Q$17&lt;=0,'2. Antecedentes'!$Q$17&gt;'2. Antecedentes'!$Q$10,'2. Antecedentes'!$Q$18="")),"Falta conversión USD",IF(OR(COUNT(G14:J14)&lt;&gt;4,MIN(G14:J14)&lt;=0),"Completar factores","Incluido")))))))))))</f>
        <v>Pendiente</v>
      </c>
      <c r="R63" s="71"/>
      <c r="S63" s="71"/>
      <c r="T63" s="71"/>
      <c r="U63" s="71"/>
    </row>
    <row r="64" spans="1:21" x14ac:dyDescent="0.25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4"/>
      <c r="O64" s="24"/>
      <c r="P64" s="24"/>
      <c r="Q64" s="24"/>
      <c r="R64" s="24"/>
      <c r="S64" s="24"/>
      <c r="T64" s="24"/>
      <c r="U64" s="24"/>
    </row>
    <row r="65" spans="1:21" x14ac:dyDescent="0.2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4"/>
      <c r="O65" s="24"/>
      <c r="P65" s="24"/>
      <c r="Q65" s="24"/>
      <c r="R65" s="24"/>
      <c r="S65" s="24"/>
      <c r="T65" s="24"/>
      <c r="U65" s="24"/>
    </row>
    <row r="66" spans="1:21" x14ac:dyDescent="0.25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4"/>
      <c r="O66" s="24"/>
      <c r="P66" s="24"/>
      <c r="Q66" s="24"/>
      <c r="R66" s="24"/>
      <c r="S66" s="24"/>
      <c r="T66" s="24"/>
      <c r="U66" s="24"/>
    </row>
    <row r="67" spans="1:21" x14ac:dyDescent="0.25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9" t="s">
        <v>338</v>
      </c>
      <c r="O67" s="29"/>
      <c r="P67" s="29"/>
      <c r="Q67" s="29"/>
      <c r="R67" s="29"/>
      <c r="S67" s="29"/>
      <c r="T67" s="29"/>
      <c r="U67" s="29"/>
    </row>
    <row r="68" spans="1:21" x14ac:dyDescent="0.25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35" t="s">
        <v>252</v>
      </c>
      <c r="O68" s="35"/>
      <c r="P68" s="35"/>
      <c r="Q68" s="71" t="s">
        <v>228</v>
      </c>
      <c r="R68" s="71"/>
      <c r="S68" s="71"/>
      <c r="T68" s="71"/>
      <c r="U68" s="71"/>
    </row>
    <row r="69" spans="1:21" x14ac:dyDescent="0.25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35" t="s">
        <v>253</v>
      </c>
      <c r="O69" s="35"/>
      <c r="P69" s="35"/>
      <c r="Q69" s="71"/>
      <c r="R69" s="71"/>
      <c r="S69" s="71"/>
      <c r="T69" s="71"/>
      <c r="U69" s="71"/>
    </row>
    <row r="70" spans="1:21" x14ac:dyDescent="0.25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35" t="s">
        <v>254</v>
      </c>
      <c r="O70" s="35"/>
      <c r="P70" s="35"/>
      <c r="Q70" s="71"/>
      <c r="R70" s="71"/>
      <c r="S70" s="71"/>
      <c r="T70" s="71"/>
      <c r="U70" s="71"/>
    </row>
    <row r="71" spans="1:21" x14ac:dyDescent="0.25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35" t="s">
        <v>255</v>
      </c>
      <c r="O71" s="35"/>
      <c r="P71" s="35"/>
      <c r="Q71" s="76"/>
      <c r="R71" s="76"/>
      <c r="S71" s="76"/>
      <c r="T71" s="76"/>
      <c r="U71" s="76"/>
    </row>
    <row r="72" spans="1:21" x14ac:dyDescent="0.25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35" t="s">
        <v>256</v>
      </c>
      <c r="O72" s="35"/>
      <c r="P72" s="35"/>
      <c r="Q72" s="76"/>
      <c r="R72" s="76"/>
      <c r="S72" s="76"/>
      <c r="T72" s="76"/>
      <c r="U72" s="76"/>
    </row>
    <row r="73" spans="1:21" x14ac:dyDescent="0.25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35" t="s">
        <v>257</v>
      </c>
      <c r="O73" s="35"/>
      <c r="P73" s="35"/>
      <c r="Q73" s="71"/>
      <c r="R73" s="71"/>
      <c r="S73" s="71"/>
      <c r="T73" s="71"/>
      <c r="U73" s="71"/>
    </row>
    <row r="74" spans="1:21" x14ac:dyDescent="0.25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35" t="s">
        <v>60</v>
      </c>
      <c r="O74" s="35"/>
      <c r="P74" s="35"/>
      <c r="Q74" s="71"/>
      <c r="R74" s="71"/>
      <c r="S74" s="71"/>
      <c r="T74" s="71"/>
      <c r="U74" s="71"/>
    </row>
    <row r="75" spans="1:21" x14ac:dyDescent="0.2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35" t="s">
        <v>258</v>
      </c>
      <c r="O75" s="35"/>
      <c r="P75" s="35"/>
      <c r="Q75" s="137"/>
      <c r="R75" s="137"/>
      <c r="S75" s="137"/>
      <c r="T75" s="137"/>
      <c r="U75" s="137"/>
    </row>
    <row r="76" spans="1:21" x14ac:dyDescent="0.25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35" t="s">
        <v>259</v>
      </c>
      <c r="O76" s="35"/>
      <c r="P76" s="35"/>
      <c r="Q76" s="71"/>
      <c r="R76" s="71"/>
      <c r="S76" s="71"/>
      <c r="T76" s="71"/>
      <c r="U76" s="71"/>
    </row>
    <row r="77" spans="1:21" x14ac:dyDescent="0.25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35" t="s">
        <v>261</v>
      </c>
      <c r="O77" s="35"/>
      <c r="P77" s="35"/>
      <c r="Q77" s="71"/>
      <c r="R77" s="71"/>
      <c r="S77" s="71"/>
      <c r="T77" s="71"/>
      <c r="U77" s="71"/>
    </row>
    <row r="78" spans="1:21" x14ac:dyDescent="0.25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35" t="s">
        <v>262</v>
      </c>
      <c r="O78" s="35"/>
      <c r="P78" s="35"/>
      <c r="Q78" s="71"/>
      <c r="R78" s="71"/>
      <c r="S78" s="71"/>
      <c r="T78" s="71"/>
      <c r="U78" s="71"/>
    </row>
    <row r="79" spans="1:21" x14ac:dyDescent="0.25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35" t="s">
        <v>263</v>
      </c>
      <c r="O79" s="35"/>
      <c r="P79" s="35"/>
      <c r="Q79" s="71"/>
      <c r="R79" s="71"/>
      <c r="S79" s="71"/>
      <c r="T79" s="71"/>
      <c r="U79" s="71"/>
    </row>
    <row r="80" spans="1:21" x14ac:dyDescent="0.25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35" t="s">
        <v>264</v>
      </c>
      <c r="O80" s="35"/>
      <c r="P80" s="35"/>
      <c r="Q80" s="71"/>
      <c r="R80" s="71"/>
      <c r="S80" s="71"/>
      <c r="T80" s="71"/>
      <c r="U80" s="71"/>
    </row>
    <row r="81" spans="1:21" x14ac:dyDescent="0.25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35" t="s">
        <v>265</v>
      </c>
      <c r="O81" s="35"/>
      <c r="P81" s="35"/>
      <c r="Q81" s="71"/>
      <c r="R81" s="71"/>
      <c r="S81" s="71"/>
      <c r="T81" s="71"/>
      <c r="U81" s="71"/>
    </row>
    <row r="82" spans="1:21" x14ac:dyDescent="0.25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35" t="s">
        <v>266</v>
      </c>
      <c r="O82" s="35"/>
      <c r="P82" s="35"/>
      <c r="Q82" s="71" t="str">
        <f>IF(Q68="Excluir",IF(Q81="","Explicar exclusión","Excluido"),IF(Q68&lt;&gt;"Incluir","Pendiente",IF(OR(B15="",Q69="",Q70="",Q76="",Q77="",Q78="",Q79="",Q80="",Q81=""),"Completar fuentes y ajustes",IF(OR(NOT(ISNUMBER(Q71)),NOT(ISNUMBER(Q72))),"Faltan fechas",IF(OR(Q71&lt;=0,Q72&lt;=0,Q71&gt;'2. Antecedentes'!$E$25,Q72&gt;'2. Antecedentes'!$Q$10),"Revisar fechas",IF(OR($Q$8="",Q73&lt;&gt;$Q$8),"No mezclar tipos de precio",IF(OR(AND(Q11="Incluir",OR(Q12=Q69,Q13=Q70)),AND(Q30="Incluir",OR(Q31=Q69,Q32=Q70)),AND(Q49="Incluir",OR(Q50=Q69,Q51=Q70)),AND(Q87="Incluir",OR(Q88=Q69,Q89=Q70))),"Fuente duplicada",IF(OR(NOT(ISNUMBER(D15)),D15&lt;=0,NOT(ISNUMBER(Q75)),Q75&lt;=0),"Falta precio o superficie",IF(AND(Q74&lt;&gt;"MXN",Q74&lt;&gt;"USD"),"Falta moneda",IF(AND(Q74="USD",OR(NOT(ISNUMBER('2. Antecedentes'!$Q$16)),'2. Antecedentes'!$Q$16&lt;=0,NOT(ISNUMBER('2. Antecedentes'!$Q$17)),'2. Antecedentes'!$Q$17&lt;=0,'2. Antecedentes'!$Q$17&gt;'2. Antecedentes'!$Q$10,'2. Antecedentes'!$Q$18="")),"Falta conversión USD",IF(OR(COUNT(G15:J15)&lt;&gt;4,MIN(G15:J15)&lt;=0),"Completar factores","Incluido")))))))))))</f>
        <v>Pendiente</v>
      </c>
      <c r="R82" s="71"/>
      <c r="S82" s="71"/>
      <c r="T82" s="71"/>
      <c r="U82" s="71"/>
    </row>
    <row r="83" spans="1:21" x14ac:dyDescent="0.25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4"/>
      <c r="O83" s="24"/>
      <c r="P83" s="24"/>
      <c r="Q83" s="24"/>
      <c r="R83" s="24"/>
      <c r="S83" s="24"/>
      <c r="T83" s="24"/>
      <c r="U83" s="24"/>
    </row>
    <row r="84" spans="1:21" x14ac:dyDescent="0.25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4"/>
      <c r="O84" s="24"/>
      <c r="P84" s="24"/>
      <c r="Q84" s="24"/>
      <c r="R84" s="24"/>
      <c r="S84" s="24"/>
      <c r="T84" s="24"/>
      <c r="U84" s="24"/>
    </row>
    <row r="85" spans="1:21" x14ac:dyDescent="0.2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4"/>
      <c r="O85" s="24"/>
      <c r="P85" s="24"/>
      <c r="Q85" s="24"/>
      <c r="R85" s="24"/>
      <c r="S85" s="24"/>
      <c r="T85" s="24"/>
      <c r="U85" s="24"/>
    </row>
    <row r="86" spans="1:21" x14ac:dyDescent="0.25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9" t="s">
        <v>339</v>
      </c>
      <c r="O86" s="29"/>
      <c r="P86" s="29"/>
      <c r="Q86" s="29"/>
      <c r="R86" s="29"/>
      <c r="S86" s="29"/>
      <c r="T86" s="29"/>
      <c r="U86" s="29"/>
    </row>
    <row r="87" spans="1:21" x14ac:dyDescent="0.25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35" t="s">
        <v>252</v>
      </c>
      <c r="O87" s="35"/>
      <c r="P87" s="35"/>
      <c r="Q87" s="71" t="s">
        <v>228</v>
      </c>
      <c r="R87" s="71"/>
      <c r="S87" s="71"/>
      <c r="T87" s="71"/>
      <c r="U87" s="71"/>
    </row>
    <row r="88" spans="1:21" x14ac:dyDescent="0.25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35" t="s">
        <v>253</v>
      </c>
      <c r="O88" s="35"/>
      <c r="P88" s="35"/>
      <c r="Q88" s="71"/>
      <c r="R88" s="71"/>
      <c r="S88" s="71"/>
      <c r="T88" s="71"/>
      <c r="U88" s="71"/>
    </row>
    <row r="89" spans="1:21" x14ac:dyDescent="0.25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35" t="s">
        <v>254</v>
      </c>
      <c r="O89" s="35"/>
      <c r="P89" s="35"/>
      <c r="Q89" s="71"/>
      <c r="R89" s="71"/>
      <c r="S89" s="71"/>
      <c r="T89" s="71"/>
      <c r="U89" s="71"/>
    </row>
    <row r="90" spans="1:21" x14ac:dyDescent="0.25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35" t="s">
        <v>255</v>
      </c>
      <c r="O90" s="35"/>
      <c r="P90" s="35"/>
      <c r="Q90" s="76"/>
      <c r="R90" s="76"/>
      <c r="S90" s="76"/>
      <c r="T90" s="76"/>
      <c r="U90" s="76"/>
    </row>
    <row r="91" spans="1:21" x14ac:dyDescent="0.25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35" t="s">
        <v>256</v>
      </c>
      <c r="O91" s="35"/>
      <c r="P91" s="35"/>
      <c r="Q91" s="76"/>
      <c r="R91" s="76"/>
      <c r="S91" s="76"/>
      <c r="T91" s="76"/>
      <c r="U91" s="76"/>
    </row>
    <row r="92" spans="1:21" x14ac:dyDescent="0.25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35" t="s">
        <v>257</v>
      </c>
      <c r="O92" s="35"/>
      <c r="P92" s="35"/>
      <c r="Q92" s="71"/>
      <c r="R92" s="71"/>
      <c r="S92" s="71"/>
      <c r="T92" s="71"/>
      <c r="U92" s="71"/>
    </row>
    <row r="93" spans="1:21" x14ac:dyDescent="0.25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35" t="s">
        <v>60</v>
      </c>
      <c r="O93" s="35"/>
      <c r="P93" s="35"/>
      <c r="Q93" s="71"/>
      <c r="R93" s="71"/>
      <c r="S93" s="71"/>
      <c r="T93" s="71"/>
      <c r="U93" s="71"/>
    </row>
    <row r="94" spans="1:21" x14ac:dyDescent="0.25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35" t="s">
        <v>258</v>
      </c>
      <c r="O94" s="35"/>
      <c r="P94" s="35"/>
      <c r="Q94" s="137"/>
      <c r="R94" s="137"/>
      <c r="S94" s="137"/>
      <c r="T94" s="137"/>
      <c r="U94" s="137"/>
    </row>
    <row r="95" spans="1:21" x14ac:dyDescent="0.2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35" t="s">
        <v>259</v>
      </c>
      <c r="O95" s="35"/>
      <c r="P95" s="35"/>
      <c r="Q95" s="71"/>
      <c r="R95" s="71"/>
      <c r="S95" s="71"/>
      <c r="T95" s="71"/>
      <c r="U95" s="71"/>
    </row>
    <row r="96" spans="1:21" x14ac:dyDescent="0.25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35" t="s">
        <v>261</v>
      </c>
      <c r="O96" s="35"/>
      <c r="P96" s="35"/>
      <c r="Q96" s="71"/>
      <c r="R96" s="71"/>
      <c r="S96" s="71"/>
      <c r="T96" s="71"/>
      <c r="U96" s="71"/>
    </row>
    <row r="97" spans="1:21" x14ac:dyDescent="0.25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35" t="s">
        <v>262</v>
      </c>
      <c r="O97" s="35"/>
      <c r="P97" s="35"/>
      <c r="Q97" s="71"/>
      <c r="R97" s="71"/>
      <c r="S97" s="71"/>
      <c r="T97" s="71"/>
      <c r="U97" s="71"/>
    </row>
    <row r="98" spans="1:21" x14ac:dyDescent="0.25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35" t="s">
        <v>263</v>
      </c>
      <c r="O98" s="35"/>
      <c r="P98" s="35"/>
      <c r="Q98" s="71"/>
      <c r="R98" s="71"/>
      <c r="S98" s="71"/>
      <c r="T98" s="71"/>
      <c r="U98" s="71"/>
    </row>
    <row r="99" spans="1:21" x14ac:dyDescent="0.25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35" t="s">
        <v>264</v>
      </c>
      <c r="O99" s="35"/>
      <c r="P99" s="35"/>
      <c r="Q99" s="71"/>
      <c r="R99" s="71"/>
      <c r="S99" s="71"/>
      <c r="T99" s="71"/>
      <c r="U99" s="71"/>
    </row>
    <row r="100" spans="1:21" x14ac:dyDescent="0.25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35" t="s">
        <v>265</v>
      </c>
      <c r="O100" s="35"/>
      <c r="P100" s="35"/>
      <c r="Q100" s="71"/>
      <c r="R100" s="71"/>
      <c r="S100" s="71"/>
      <c r="T100" s="71"/>
      <c r="U100" s="71"/>
    </row>
    <row r="101" spans="1:21" x14ac:dyDescent="0.25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35" t="s">
        <v>266</v>
      </c>
      <c r="O101" s="35"/>
      <c r="P101" s="35"/>
      <c r="Q101" s="71" t="str">
        <f>IF(Q87="Excluir",IF(Q100="","Explicar exclusión","Excluido"),IF(Q87&lt;&gt;"Incluir","Pendiente",IF(OR(B16="",Q88="",Q89="",Q95="",Q96="",Q97="",Q98="",Q99="",Q100=""),"Completar fuentes y ajustes",IF(OR(NOT(ISNUMBER(Q90)),NOT(ISNUMBER(Q91))),"Faltan fechas",IF(OR(Q90&lt;=0,Q91&lt;=0,Q90&gt;'2. Antecedentes'!$E$25,Q91&gt;'2. Antecedentes'!$Q$10),"Revisar fechas",IF(OR($Q$8="",Q92&lt;&gt;$Q$8),"No mezclar tipos de precio",IF(OR(AND(Q11="Incluir",OR(Q12=Q88,Q13=Q89)),AND(Q30="Incluir",OR(Q31=Q88,Q32=Q89)),AND(Q49="Incluir",OR(Q50=Q88,Q51=Q89)),AND(Q68="Incluir",OR(Q69=Q88,Q70=Q89))),"Fuente duplicada",IF(OR(NOT(ISNUMBER(D16)),D16&lt;=0,NOT(ISNUMBER(Q94)),Q94&lt;=0),"Falta precio o superficie",IF(AND(Q93&lt;&gt;"MXN",Q93&lt;&gt;"USD"),"Falta moneda",IF(AND(Q93="USD",OR(NOT(ISNUMBER('2. Antecedentes'!$Q$16)),'2. Antecedentes'!$Q$16&lt;=0,NOT(ISNUMBER('2. Antecedentes'!$Q$17)),'2. Antecedentes'!$Q$17&lt;=0,'2. Antecedentes'!$Q$17&gt;'2. Antecedentes'!$Q$10,'2. Antecedentes'!$Q$18="")),"Falta conversión USD",IF(OR(COUNT(G16:J16)&lt;&gt;4,MIN(G16:J16)&lt;=0),"Completar factores","Incluido")))))))))))</f>
        <v>Pendiente</v>
      </c>
      <c r="R101" s="71"/>
      <c r="S101" s="71"/>
      <c r="T101" s="71"/>
      <c r="U101" s="71"/>
    </row>
    <row r="102" spans="1:21" x14ac:dyDescent="0.25">
      <c r="N102" s="2"/>
      <c r="O102" s="2"/>
      <c r="P102" s="2"/>
      <c r="Q102" s="2"/>
      <c r="R102" s="2"/>
      <c r="S102" s="2"/>
      <c r="T102" s="2"/>
      <c r="U102" s="2"/>
    </row>
    <row r="103" spans="1:21" x14ac:dyDescent="0.25">
      <c r="N103" s="2"/>
      <c r="O103" s="2"/>
      <c r="P103" s="2"/>
      <c r="Q103" s="2"/>
      <c r="R103" s="2"/>
      <c r="S103" s="2"/>
      <c r="T103" s="2"/>
      <c r="U103" s="2"/>
    </row>
    <row r="104" spans="1:21" x14ac:dyDescent="0.25">
      <c r="N104" s="2"/>
      <c r="O104" s="2"/>
      <c r="P104" s="2"/>
      <c r="Q104" s="2"/>
      <c r="R104" s="2"/>
      <c r="S104" s="2"/>
      <c r="T104" s="2"/>
      <c r="U104" s="2"/>
    </row>
    <row r="105" spans="1:21" x14ac:dyDescent="0.25">
      <c r="N105" s="2"/>
      <c r="O105" s="2"/>
      <c r="P105" s="2"/>
      <c r="Q105" s="2"/>
      <c r="R105" s="2"/>
      <c r="S105" s="2"/>
      <c r="T105" s="2"/>
      <c r="U105" s="2"/>
    </row>
    <row r="106" spans="1:21" x14ac:dyDescent="0.25">
      <c r="N106" s="2"/>
      <c r="O106" s="2"/>
      <c r="P106" s="2"/>
      <c r="Q106" s="2"/>
      <c r="R106" s="2"/>
      <c r="S106" s="2"/>
      <c r="T106" s="2"/>
      <c r="U106" s="2"/>
    </row>
    <row r="107" spans="1:21" x14ac:dyDescent="0.25">
      <c r="N107" s="2"/>
      <c r="O107" s="2"/>
      <c r="P107" s="2"/>
      <c r="Q107" s="2"/>
      <c r="R107" s="2"/>
      <c r="S107" s="2"/>
      <c r="T107" s="2"/>
      <c r="U107" s="2"/>
    </row>
    <row r="108" spans="1:21" x14ac:dyDescent="0.25">
      <c r="N108" s="2"/>
      <c r="O108" s="2"/>
      <c r="P108" s="2"/>
      <c r="Q108" s="2"/>
      <c r="R108" s="2"/>
      <c r="S108" s="2"/>
      <c r="T108" s="2"/>
      <c r="U108" s="2"/>
    </row>
    <row r="109" spans="1:21" x14ac:dyDescent="0.25">
      <c r="N109" s="2"/>
      <c r="O109" s="2"/>
      <c r="P109" s="2"/>
      <c r="Q109" s="2"/>
      <c r="R109" s="2"/>
      <c r="S109" s="2"/>
      <c r="T109" s="2"/>
      <c r="U109" s="2"/>
    </row>
    <row r="110" spans="1:21" x14ac:dyDescent="0.25">
      <c r="N110" s="2"/>
      <c r="O110" s="2"/>
      <c r="P110" s="2"/>
      <c r="Q110" s="2"/>
      <c r="R110" s="2"/>
      <c r="S110" s="2"/>
      <c r="T110" s="2"/>
      <c r="U110" s="2"/>
    </row>
    <row r="111" spans="1:21" x14ac:dyDescent="0.25">
      <c r="N111" s="2"/>
      <c r="O111" s="2"/>
      <c r="P111" s="2"/>
      <c r="Q111" s="2"/>
      <c r="R111" s="2"/>
      <c r="S111" s="2"/>
      <c r="T111" s="2"/>
      <c r="U111" s="2"/>
    </row>
    <row r="112" spans="1:21" x14ac:dyDescent="0.25">
      <c r="N112" s="2"/>
      <c r="O112" s="2"/>
      <c r="P112" s="2"/>
      <c r="Q112" s="2"/>
      <c r="R112" s="2"/>
      <c r="S112" s="2"/>
      <c r="T112" s="2"/>
      <c r="U112" s="2"/>
    </row>
    <row r="113" spans="14:21" x14ac:dyDescent="0.25">
      <c r="N113" s="2"/>
      <c r="O113" s="2"/>
      <c r="P113" s="2"/>
      <c r="Q113" s="2"/>
      <c r="R113" s="2"/>
      <c r="S113" s="2"/>
      <c r="T113" s="2"/>
      <c r="U113" s="2"/>
    </row>
    <row r="114" spans="14:21" x14ac:dyDescent="0.25">
      <c r="N114" s="2"/>
      <c r="O114" s="2"/>
      <c r="P114" s="2"/>
      <c r="Q114" s="2"/>
      <c r="R114" s="2"/>
      <c r="S114" s="2"/>
      <c r="T114" s="2"/>
      <c r="U114" s="2"/>
    </row>
    <row r="115" spans="14:21" x14ac:dyDescent="0.25">
      <c r="N115" s="2"/>
      <c r="O115" s="2"/>
      <c r="P115" s="2"/>
      <c r="Q115" s="2"/>
      <c r="R115" s="2"/>
      <c r="S115" s="2"/>
      <c r="T115" s="2"/>
      <c r="U115" s="2"/>
    </row>
  </sheetData>
  <mergeCells count="224">
    <mergeCell ref="H24:L24"/>
    <mergeCell ref="A21:G21"/>
    <mergeCell ref="H21:L21"/>
    <mergeCell ref="A23:L23"/>
    <mergeCell ref="A24:G24"/>
    <mergeCell ref="B16:C16"/>
    <mergeCell ref="B11:C11"/>
    <mergeCell ref="B12:C12"/>
    <mergeCell ref="B13:C13"/>
    <mergeCell ref="B14:C14"/>
    <mergeCell ref="B15:C15"/>
    <mergeCell ref="A35:L35"/>
    <mergeCell ref="A25:G25"/>
    <mergeCell ref="H25:L25"/>
    <mergeCell ref="A26:G26"/>
    <mergeCell ref="H26:L26"/>
    <mergeCell ref="A27:G27"/>
    <mergeCell ref="H27:L27"/>
    <mergeCell ref="A28:G28"/>
    <mergeCell ref="H28:L28"/>
    <mergeCell ref="A30:L30"/>
    <mergeCell ref="A31:G31"/>
    <mergeCell ref="H31:L31"/>
    <mergeCell ref="A32:G32"/>
    <mergeCell ref="H32:L32"/>
    <mergeCell ref="A34:G34"/>
    <mergeCell ref="H34:L34"/>
    <mergeCell ref="C2:H2"/>
    <mergeCell ref="I2:L3"/>
    <mergeCell ref="C3:H3"/>
    <mergeCell ref="A5:L5"/>
    <mergeCell ref="A7:L7"/>
    <mergeCell ref="A8:L8"/>
    <mergeCell ref="A19:L19"/>
    <mergeCell ref="A20:G20"/>
    <mergeCell ref="H20:L20"/>
    <mergeCell ref="A10:L10"/>
    <mergeCell ref="A17:K17"/>
    <mergeCell ref="A18:K18"/>
    <mergeCell ref="N12:P12"/>
    <mergeCell ref="Q12:U12"/>
    <mergeCell ref="N13:P13"/>
    <mergeCell ref="Q13:U13"/>
    <mergeCell ref="N14:P14"/>
    <mergeCell ref="Q14:U14"/>
    <mergeCell ref="N7:U7"/>
    <mergeCell ref="N8:P8"/>
    <mergeCell ref="Q8:U8"/>
    <mergeCell ref="N10:U10"/>
    <mergeCell ref="N11:P11"/>
    <mergeCell ref="Q11:U11"/>
    <mergeCell ref="N18:P18"/>
    <mergeCell ref="Q18:U18"/>
    <mergeCell ref="N19:P19"/>
    <mergeCell ref="Q19:U19"/>
    <mergeCell ref="N20:P20"/>
    <mergeCell ref="Q20:U20"/>
    <mergeCell ref="N15:P15"/>
    <mergeCell ref="Q15:U15"/>
    <mergeCell ref="N16:P16"/>
    <mergeCell ref="Q16:U16"/>
    <mergeCell ref="N17:P17"/>
    <mergeCell ref="Q17:U17"/>
    <mergeCell ref="N24:P24"/>
    <mergeCell ref="Q24:U24"/>
    <mergeCell ref="N25:P25"/>
    <mergeCell ref="Q25:U25"/>
    <mergeCell ref="N29:U29"/>
    <mergeCell ref="N21:P21"/>
    <mergeCell ref="Q21:U21"/>
    <mergeCell ref="N22:P22"/>
    <mergeCell ref="Q22:U22"/>
    <mergeCell ref="N23:P23"/>
    <mergeCell ref="Q23:U23"/>
    <mergeCell ref="N33:P33"/>
    <mergeCell ref="Q33:U33"/>
    <mergeCell ref="N34:P34"/>
    <mergeCell ref="Q34:U34"/>
    <mergeCell ref="N35:P35"/>
    <mergeCell ref="Q35:U35"/>
    <mergeCell ref="N30:P30"/>
    <mergeCell ref="Q30:U30"/>
    <mergeCell ref="N31:P31"/>
    <mergeCell ref="Q31:U31"/>
    <mergeCell ref="N32:P32"/>
    <mergeCell ref="Q32:U32"/>
    <mergeCell ref="N39:P39"/>
    <mergeCell ref="Q39:U39"/>
    <mergeCell ref="N40:P40"/>
    <mergeCell ref="Q40:U40"/>
    <mergeCell ref="N41:P41"/>
    <mergeCell ref="Q41:U41"/>
    <mergeCell ref="N36:P36"/>
    <mergeCell ref="Q36:U36"/>
    <mergeCell ref="N37:P37"/>
    <mergeCell ref="Q37:U37"/>
    <mergeCell ref="N38:P38"/>
    <mergeCell ref="Q38:U38"/>
    <mergeCell ref="N48:U48"/>
    <mergeCell ref="N49:P49"/>
    <mergeCell ref="Q49:U49"/>
    <mergeCell ref="N50:P50"/>
    <mergeCell ref="Q50:U50"/>
    <mergeCell ref="N42:P42"/>
    <mergeCell ref="Q42:U42"/>
    <mergeCell ref="N43:P43"/>
    <mergeCell ref="Q43:U43"/>
    <mergeCell ref="N44:P44"/>
    <mergeCell ref="Q44:U44"/>
    <mergeCell ref="N54:P54"/>
    <mergeCell ref="Q54:U54"/>
    <mergeCell ref="N55:P55"/>
    <mergeCell ref="Q55:U55"/>
    <mergeCell ref="N56:P56"/>
    <mergeCell ref="Q56:U56"/>
    <mergeCell ref="N51:P51"/>
    <mergeCell ref="Q51:U51"/>
    <mergeCell ref="N52:P52"/>
    <mergeCell ref="Q52:U52"/>
    <mergeCell ref="N53:P53"/>
    <mergeCell ref="Q53:U53"/>
    <mergeCell ref="N60:P60"/>
    <mergeCell ref="Q60:U60"/>
    <mergeCell ref="N61:P61"/>
    <mergeCell ref="Q61:U61"/>
    <mergeCell ref="N62:P62"/>
    <mergeCell ref="Q62:U62"/>
    <mergeCell ref="N57:P57"/>
    <mergeCell ref="Q57:U57"/>
    <mergeCell ref="N58:P58"/>
    <mergeCell ref="Q58:U58"/>
    <mergeCell ref="N59:P59"/>
    <mergeCell ref="Q59:U59"/>
    <mergeCell ref="N69:P69"/>
    <mergeCell ref="Q69:U69"/>
    <mergeCell ref="N70:P70"/>
    <mergeCell ref="Q70:U70"/>
    <mergeCell ref="N71:P71"/>
    <mergeCell ref="Q71:U71"/>
    <mergeCell ref="N63:P63"/>
    <mergeCell ref="Q63:U63"/>
    <mergeCell ref="N67:U67"/>
    <mergeCell ref="N68:P68"/>
    <mergeCell ref="Q68:U68"/>
    <mergeCell ref="N75:P75"/>
    <mergeCell ref="Q75:U75"/>
    <mergeCell ref="N76:P76"/>
    <mergeCell ref="Q76:U76"/>
    <mergeCell ref="N77:P77"/>
    <mergeCell ref="Q77:U77"/>
    <mergeCell ref="N72:P72"/>
    <mergeCell ref="Q72:U72"/>
    <mergeCell ref="N73:P73"/>
    <mergeCell ref="Q73:U73"/>
    <mergeCell ref="N74:P74"/>
    <mergeCell ref="Q74:U74"/>
    <mergeCell ref="N81:P81"/>
    <mergeCell ref="Q81:U81"/>
    <mergeCell ref="N82:P82"/>
    <mergeCell ref="Q82:U82"/>
    <mergeCell ref="N86:U86"/>
    <mergeCell ref="N78:P78"/>
    <mergeCell ref="Q78:U78"/>
    <mergeCell ref="N79:P79"/>
    <mergeCell ref="Q79:U79"/>
    <mergeCell ref="N80:P80"/>
    <mergeCell ref="Q80:U80"/>
    <mergeCell ref="Q91:U91"/>
    <mergeCell ref="N92:P92"/>
    <mergeCell ref="Q92:U92"/>
    <mergeCell ref="N87:P87"/>
    <mergeCell ref="Q87:U87"/>
    <mergeCell ref="N88:P88"/>
    <mergeCell ref="Q88:U88"/>
    <mergeCell ref="N89:P89"/>
    <mergeCell ref="Q89:U89"/>
    <mergeCell ref="C42:H42"/>
    <mergeCell ref="I42:J42"/>
    <mergeCell ref="K42:L42"/>
    <mergeCell ref="N99:P99"/>
    <mergeCell ref="Q99:U99"/>
    <mergeCell ref="N100:P100"/>
    <mergeCell ref="Q100:U100"/>
    <mergeCell ref="N101:P101"/>
    <mergeCell ref="Q101:U101"/>
    <mergeCell ref="N96:P96"/>
    <mergeCell ref="Q96:U96"/>
    <mergeCell ref="N97:P97"/>
    <mergeCell ref="Q97:U97"/>
    <mergeCell ref="N98:P98"/>
    <mergeCell ref="Q98:U98"/>
    <mergeCell ref="N93:P93"/>
    <mergeCell ref="Q93:U93"/>
    <mergeCell ref="N94:P94"/>
    <mergeCell ref="Q94:U94"/>
    <mergeCell ref="N95:P95"/>
    <mergeCell ref="Q95:U95"/>
    <mergeCell ref="N90:P90"/>
    <mergeCell ref="Q90:U90"/>
    <mergeCell ref="N91:P91"/>
    <mergeCell ref="A36:L39"/>
    <mergeCell ref="A47:B47"/>
    <mergeCell ref="C47:H47"/>
    <mergeCell ref="I47:J47"/>
    <mergeCell ref="K47:L47"/>
    <mergeCell ref="A49:L49"/>
    <mergeCell ref="A45:B45"/>
    <mergeCell ref="C45:H45"/>
    <mergeCell ref="I45:J45"/>
    <mergeCell ref="K45:L45"/>
    <mergeCell ref="A46:B46"/>
    <mergeCell ref="C46:H46"/>
    <mergeCell ref="I46:J46"/>
    <mergeCell ref="K46:L46"/>
    <mergeCell ref="A43:B43"/>
    <mergeCell ref="C43:H43"/>
    <mergeCell ref="I43:J43"/>
    <mergeCell ref="K43:L43"/>
    <mergeCell ref="A44:B44"/>
    <mergeCell ref="C44:H44"/>
    <mergeCell ref="I44:J44"/>
    <mergeCell ref="K44:L44"/>
    <mergeCell ref="A41:L41"/>
    <mergeCell ref="A42:B42"/>
  </mergeCells>
  <conditionalFormatting sqref="Q25">
    <cfRule type="expression" dxfId="5" priority="1">
      <formula>AND(Q25&lt;&gt;"",Q25&lt;&gt;"Incluido",Q25&lt;&gt;"Revisada",Q25&lt;&gt;"Bases completas",Q25&lt;&gt;"Excluido")</formula>
    </cfRule>
  </conditionalFormatting>
  <conditionalFormatting sqref="Q44">
    <cfRule type="expression" dxfId="4" priority="2">
      <formula>AND(Q44&lt;&gt;"",Q44&lt;&gt;"Incluido",Q44&lt;&gt;"Revisada",Q44&lt;&gt;"Bases completas",Q44&lt;&gt;"Excluido")</formula>
    </cfRule>
  </conditionalFormatting>
  <conditionalFormatting sqref="Q63">
    <cfRule type="expression" dxfId="3" priority="3">
      <formula>AND(Q63&lt;&gt;"",Q63&lt;&gt;"Incluido",Q63&lt;&gt;"Revisada",Q63&lt;&gt;"Bases completas",Q63&lt;&gt;"Excluido")</formula>
    </cfRule>
  </conditionalFormatting>
  <conditionalFormatting sqref="Q82">
    <cfRule type="expression" dxfId="2" priority="4">
      <formula>AND(Q82&lt;&gt;"",Q82&lt;&gt;"Incluido",Q82&lt;&gt;"Revisada",Q82&lt;&gt;"Bases completas",Q82&lt;&gt;"Excluido")</formula>
    </cfRule>
  </conditionalFormatting>
  <conditionalFormatting sqref="Q101">
    <cfRule type="expression" dxfId="1" priority="5">
      <formula>AND(Q101&lt;&gt;"",Q101&lt;&gt;"Incluido",Q101&lt;&gt;"Revisada",Q101&lt;&gt;"Bases completas",Q101&lt;&gt;"Excluido")</formula>
    </cfRule>
  </conditionalFormatting>
  <dataValidations count="6">
    <dataValidation type="list" sqref="Q8 Q92 Q73 Q54 Q35 Q16" xr:uid="{00000000-0002-0000-0800-000000000000}">
      <formula1>"Oferta,Contrato"</formula1>
    </dataValidation>
    <dataValidation type="list" sqref="Q11 Q87 Q68 Q49 Q30" xr:uid="{00000000-0002-0000-0800-000001000000}">
      <formula1>"Pendiente,Incluir,Excluir"</formula1>
    </dataValidation>
    <dataValidation type="list" sqref="Q17 Q93 Q74 Q55 Q36" xr:uid="{00000000-0002-0000-0800-000003000000}">
      <formula1>"MXN,USD"</formula1>
    </dataValidation>
    <dataValidation type="decimal" allowBlank="1" showInputMessage="1" showErrorMessage="1" errorTitle="Porcentaje" error="Captura el porcentaje con el signo %, por ejemplo 5%." sqref="H24" xr:uid="{ECD111FE-8210-4188-B073-43C44E1F8774}">
      <formula1>0</formula1>
      <formula2>1</formula2>
    </dataValidation>
    <dataValidation type="decimal" allowBlank="1" showInputMessage="1" showErrorMessage="1" errorTitle="Porcentaje" error="Captura el porcentaje con el signo %, por ejemplo 5%." sqref="H27" xr:uid="{71A71628-541D-47B6-8094-DB725E7969BA}">
      <formula1>0</formula1>
      <formula2>1</formula2>
    </dataValidation>
    <dataValidation type="decimal" allowBlank="1" showInputMessage="1" showErrorMessage="1" errorTitle="Porcentaje" error="Captura el porcentaje con el signo %, por ejemplo 5%." sqref="H32" xr:uid="{6A4E1751-3752-4168-892B-CB39F5581BB2}">
      <formula1>0</formula1>
      <formula2>1</formula2>
    </dataValidation>
  </dataValidations>
  <hyperlinks>
    <hyperlink ref="N5" location="'Índice'!N7" tooltip="Abrir guía de uso" display="GUÍA DE USO" xr:uid="{6B3901F2-3D67-4649-AC5B-A08B75278AD9}"/>
    <hyperlink ref="N6" location="'7. Ingresos'!A1" tooltip="Volver al informe" display="VOLVER AL INFORME" xr:uid="{FAB03F5E-0014-478B-B6C3-C50997833933}"/>
    <hyperlink ref="A8" location="'7. Ingresos'!N7" display="'7. Ingresos'!N7" xr:uid="{E892E075-0D27-4D70-8046-6D4B3C98A023}"/>
    <hyperlink ref="A12" location="'7. Ingresos'!N10" display="'7. Ingresos'!N10" xr:uid="{990D34AE-E05A-42E2-AE79-FB919A4F6F55}"/>
    <hyperlink ref="A13" location="'7. Ingresos'!N29" display="'7. Ingresos'!N29" xr:uid="{E6CC472D-A0FC-43E5-8BA4-8829AD424ADA}"/>
    <hyperlink ref="A14" location="'7. Ingresos'!N48" display="'7. Ingresos'!N48" xr:uid="{B81A10CF-C031-4BA2-86A1-D0AB91AEDCA4}"/>
    <hyperlink ref="A15" location="'7. Ingresos'!N67" display="'7. Ingresos'!N67" xr:uid="{C58BB36A-26C0-4A59-9EDD-1248FEF7D0E6}"/>
    <hyperlink ref="A16" location="'7. Ingresos'!N86" display="'7. Ingresos'!N86" xr:uid="{951C1D53-684E-49FB-99AA-149BE2E25DF6}"/>
  </hyperlinks>
  <printOptions horizontalCentered="1"/>
  <pageMargins left="0.28000000000000003" right="0.28000000000000003" top="0.4" bottom="0.5" header="0.25" footer="0.25"/>
  <pageSetup scale="93" orientation="portrait" r:id="rId1"/>
  <headerFooter>
    <oddFooter>&amp;C&amp;"Arial"&amp;8&amp;K6B7280&amp;P/&amp;F</oddFooter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F6B4E"/>
    <pageSetUpPr fitToPage="1"/>
  </sheetPr>
  <dimension ref="A1:Y115"/>
  <sheetViews>
    <sheetView showGridLines="0" topLeftCell="A23" zoomScaleNormal="100" workbookViewId="0">
      <selection activeCell="A11" sqref="A11:C11"/>
    </sheetView>
  </sheetViews>
  <sheetFormatPr baseColWidth="10" defaultColWidth="9.140625" defaultRowHeight="15" x14ac:dyDescent="0.25"/>
  <cols>
    <col min="1" max="12" width="9" customWidth="1"/>
    <col min="13" max="13" width="3" customWidth="1"/>
    <col min="14" max="21" width="18" customWidth="1"/>
  </cols>
  <sheetData>
    <row r="1" spans="1:2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N1" s="2"/>
      <c r="O1" s="2"/>
      <c r="P1" s="2"/>
      <c r="Q1" s="2"/>
      <c r="R1" s="2"/>
      <c r="S1" s="2"/>
      <c r="T1" s="2"/>
      <c r="U1" s="2"/>
    </row>
    <row r="2" spans="1:25" ht="18" customHeight="1" x14ac:dyDescent="0.25">
      <c r="A2" s="11"/>
      <c r="B2" s="11"/>
      <c r="C2" s="21"/>
      <c r="D2" s="21"/>
      <c r="E2" s="21"/>
      <c r="F2" s="21"/>
      <c r="G2" s="21"/>
      <c r="H2" s="21"/>
      <c r="I2" s="8" t="str">
        <f>"Opinión de valor comercial"&amp;IF('2. Antecedentes'!$Q$9&lt;&gt;"",CHAR(10)&amp;"Folio "&amp;'2. Antecedentes'!$Q$9,"")</f>
        <v>Opinión de valor comercial</v>
      </c>
      <c r="J2" s="22"/>
      <c r="K2" s="22"/>
      <c r="L2" s="22"/>
      <c r="M2" s="23"/>
      <c r="N2" s="24"/>
      <c r="O2" s="24"/>
      <c r="P2" s="24"/>
      <c r="Q2" s="24"/>
      <c r="R2" s="24"/>
      <c r="S2" s="24"/>
      <c r="T2" s="24"/>
      <c r="U2" s="24"/>
      <c r="V2" s="23"/>
      <c r="W2" s="23"/>
      <c r="X2" s="23"/>
      <c r="Y2" s="23"/>
    </row>
    <row r="3" spans="1:25" ht="12" customHeight="1" x14ac:dyDescent="0.25">
      <c r="A3" s="11"/>
      <c r="B3" s="11"/>
      <c r="C3" s="25"/>
      <c r="D3" s="25"/>
      <c r="E3" s="25"/>
      <c r="F3" s="25"/>
      <c r="G3" s="25"/>
      <c r="H3" s="25"/>
      <c r="I3" s="22"/>
      <c r="J3" s="22"/>
      <c r="K3" s="22"/>
      <c r="L3" s="22"/>
      <c r="M3" s="23"/>
      <c r="N3" s="24"/>
      <c r="O3" s="24"/>
      <c r="P3" s="24"/>
      <c r="Q3" s="24"/>
      <c r="R3" s="24"/>
      <c r="S3" s="24"/>
      <c r="T3" s="24"/>
      <c r="U3" s="24"/>
      <c r="V3" s="23"/>
      <c r="W3" s="23"/>
      <c r="X3" s="23"/>
      <c r="Y3" s="23"/>
    </row>
    <row r="4" spans="1:25" ht="8.1" customHeight="1" thickBot="1" x14ac:dyDescent="0.3">
      <c r="A4" s="350"/>
      <c r="B4" s="350"/>
      <c r="C4" s="350"/>
      <c r="D4" s="26"/>
      <c r="E4" s="26"/>
      <c r="F4" s="26"/>
      <c r="G4" s="26"/>
      <c r="H4" s="26"/>
      <c r="I4" s="26"/>
      <c r="J4" s="26"/>
      <c r="K4" s="26"/>
      <c r="L4" s="26"/>
      <c r="M4" s="23"/>
      <c r="N4" s="24"/>
      <c r="O4" s="24"/>
      <c r="P4" s="24"/>
      <c r="Q4" s="24"/>
      <c r="R4" s="24"/>
      <c r="S4" s="24"/>
      <c r="T4" s="24"/>
      <c r="U4" s="24"/>
      <c r="V4" s="23"/>
      <c r="W4" s="23"/>
      <c r="X4" s="23"/>
      <c r="Y4" s="23"/>
    </row>
    <row r="5" spans="1:25" ht="3" customHeight="1" x14ac:dyDescent="0.2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3"/>
      <c r="N5" s="68"/>
      <c r="O5" s="24"/>
      <c r="P5" s="24"/>
      <c r="Q5" s="24"/>
      <c r="R5" s="24"/>
      <c r="S5" s="24"/>
      <c r="T5" s="24"/>
      <c r="U5" s="24"/>
      <c r="V5" s="23"/>
      <c r="W5" s="23"/>
      <c r="X5" s="23"/>
      <c r="Y5" s="23"/>
    </row>
    <row r="6" spans="1:25" ht="8.1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23"/>
      <c r="N6" s="68"/>
      <c r="O6" s="24"/>
      <c r="P6" s="24"/>
      <c r="Q6" s="24"/>
      <c r="R6" s="24"/>
      <c r="S6" s="24"/>
      <c r="T6" s="24"/>
      <c r="U6" s="24"/>
      <c r="V6" s="23"/>
      <c r="W6" s="23"/>
      <c r="X6" s="23"/>
      <c r="Y6" s="23"/>
    </row>
    <row r="7" spans="1:25" ht="21.95" customHeight="1" x14ac:dyDescent="0.25">
      <c r="A7" s="28" t="s">
        <v>159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3"/>
      <c r="N7" s="29" t="s">
        <v>291</v>
      </c>
      <c r="O7" s="29"/>
      <c r="P7" s="29"/>
      <c r="Q7" s="29"/>
      <c r="R7" s="29"/>
      <c r="S7" s="29"/>
      <c r="T7" s="29"/>
      <c r="U7" s="29"/>
      <c r="V7" s="23"/>
      <c r="W7" s="23"/>
      <c r="X7" s="23"/>
      <c r="Y7" s="23"/>
    </row>
    <row r="8" spans="1:25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23"/>
      <c r="N8" s="24"/>
      <c r="O8" s="24"/>
      <c r="P8" s="24"/>
      <c r="Q8" s="24"/>
      <c r="R8" s="24"/>
      <c r="S8" s="24"/>
      <c r="T8" s="24"/>
      <c r="U8" s="24"/>
      <c r="V8" s="23"/>
      <c r="W8" s="23"/>
      <c r="X8" s="23"/>
      <c r="Y8" s="23"/>
    </row>
    <row r="9" spans="1:25" ht="18" customHeight="1" x14ac:dyDescent="0.25">
      <c r="A9" s="295" t="s">
        <v>160</v>
      </c>
      <c r="B9" s="41"/>
      <c r="C9" s="49"/>
      <c r="D9" s="49"/>
      <c r="E9" s="49"/>
      <c r="F9" s="49"/>
      <c r="G9" s="49"/>
      <c r="H9" s="49"/>
      <c r="I9" s="49"/>
      <c r="J9" s="49"/>
      <c r="K9" s="49"/>
      <c r="L9" s="49"/>
      <c r="M9" s="23"/>
      <c r="N9" s="35" t="s">
        <v>292</v>
      </c>
      <c r="O9" s="35"/>
      <c r="P9" s="35"/>
      <c r="Q9" s="71"/>
      <c r="R9" s="71"/>
      <c r="S9" s="71"/>
      <c r="T9" s="71"/>
      <c r="U9" s="71"/>
      <c r="V9" s="23"/>
      <c r="W9" s="23"/>
      <c r="X9" s="23"/>
      <c r="Y9" s="23"/>
    </row>
    <row r="10" spans="1:25" ht="17.100000000000001" customHeight="1" x14ac:dyDescent="0.25">
      <c r="A10" s="296" t="s">
        <v>161</v>
      </c>
      <c r="B10" s="14"/>
      <c r="C10" s="14"/>
      <c r="D10" s="138" t="str">
        <f>IF('4. Inmueble'!D10="","",'4. Inmueble'!D10)</f>
        <v/>
      </c>
      <c r="E10" s="139"/>
      <c r="F10" s="139"/>
      <c r="G10" s="332" t="s">
        <v>162</v>
      </c>
      <c r="H10" s="14"/>
      <c r="I10" s="14"/>
      <c r="J10" s="334" t="str">
        <f>IF('5. Comp. Terreno'!J19="","",'5. Comp. Terreno'!J19)</f>
        <v/>
      </c>
      <c r="K10" s="141"/>
      <c r="L10" s="141"/>
      <c r="M10" s="23"/>
      <c r="N10" s="35" t="s">
        <v>293</v>
      </c>
      <c r="O10" s="35"/>
      <c r="P10" s="35"/>
      <c r="Q10" s="71"/>
      <c r="R10" s="71"/>
      <c r="S10" s="71"/>
      <c r="T10" s="71"/>
      <c r="U10" s="71"/>
      <c r="V10" s="23"/>
      <c r="W10" s="23"/>
      <c r="X10" s="23"/>
      <c r="Y10" s="23"/>
    </row>
    <row r="11" spans="1:25" ht="18" customHeight="1" x14ac:dyDescent="0.25">
      <c r="A11" s="14" t="s">
        <v>372</v>
      </c>
      <c r="B11" s="14"/>
      <c r="C11" s="14"/>
      <c r="D11" s="360">
        <f>IF(ISNUMBER('5. Comp. Terreno'!D20),'5. Comp. Terreno'!D20,1)</f>
        <v>1</v>
      </c>
      <c r="E11" s="142"/>
      <c r="F11" s="330"/>
      <c r="G11" s="304" t="s">
        <v>163</v>
      </c>
      <c r="H11" s="331"/>
      <c r="I11" s="185"/>
      <c r="J11" s="333" t="str">
        <f>IF(ISNUMBER('5. Comp. Terreno'!J21),'5. Comp. Terreno'!J21,"")</f>
        <v/>
      </c>
      <c r="K11" s="186"/>
      <c r="L11" s="186"/>
      <c r="M11" s="23"/>
      <c r="N11" s="35" t="s">
        <v>294</v>
      </c>
      <c r="O11" s="35"/>
      <c r="P11" s="35"/>
      <c r="Q11" s="71"/>
      <c r="R11" s="71"/>
      <c r="S11" s="71"/>
      <c r="T11" s="71"/>
      <c r="U11" s="71"/>
      <c r="V11" s="23"/>
      <c r="W11" s="23"/>
      <c r="X11" s="23"/>
      <c r="Y11" s="23"/>
    </row>
    <row r="12" spans="1:25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23"/>
      <c r="N12" s="35" t="s">
        <v>295</v>
      </c>
      <c r="O12" s="35"/>
      <c r="P12" s="35"/>
      <c r="Q12" s="71"/>
      <c r="R12" s="71"/>
      <c r="S12" s="71"/>
      <c r="T12" s="71"/>
      <c r="U12" s="71"/>
      <c r="V12" s="23"/>
      <c r="W12" s="23"/>
      <c r="X12" s="23"/>
      <c r="Y12" s="23"/>
    </row>
    <row r="13" spans="1:25" ht="18" customHeight="1" x14ac:dyDescent="0.25">
      <c r="A13" s="295" t="s">
        <v>343</v>
      </c>
      <c r="B13" s="70"/>
      <c r="C13" s="187"/>
      <c r="D13" s="187"/>
      <c r="E13" s="187"/>
      <c r="F13" s="187"/>
      <c r="G13" s="187"/>
      <c r="H13" s="187"/>
      <c r="I13" s="187"/>
      <c r="J13" s="187"/>
      <c r="K13" s="187"/>
      <c r="L13" s="187"/>
      <c r="M13" s="23"/>
      <c r="N13" s="35" t="s">
        <v>296</v>
      </c>
      <c r="O13" s="35"/>
      <c r="P13" s="35"/>
      <c r="Q13" s="71"/>
      <c r="R13" s="71"/>
      <c r="S13" s="71"/>
      <c r="T13" s="71"/>
      <c r="U13" s="71"/>
      <c r="V13" s="23"/>
      <c r="W13" s="23"/>
      <c r="X13" s="23"/>
      <c r="Y13" s="23"/>
    </row>
    <row r="14" spans="1:25" ht="21.95" customHeight="1" x14ac:dyDescent="0.25">
      <c r="A14" s="335" t="s">
        <v>164</v>
      </c>
      <c r="B14" s="188"/>
      <c r="C14" s="189" t="s">
        <v>111</v>
      </c>
      <c r="D14" s="189" t="s">
        <v>165</v>
      </c>
      <c r="E14" s="189" t="s">
        <v>30</v>
      </c>
      <c r="F14" s="189" t="s">
        <v>166</v>
      </c>
      <c r="G14" s="189" t="s">
        <v>248</v>
      </c>
      <c r="H14" s="189" t="s">
        <v>167</v>
      </c>
      <c r="I14" s="189" t="s">
        <v>168</v>
      </c>
      <c r="J14" s="189" t="s">
        <v>169</v>
      </c>
      <c r="K14" s="189" t="s">
        <v>170</v>
      </c>
      <c r="L14" s="190" t="s">
        <v>171</v>
      </c>
      <c r="M14" s="23"/>
      <c r="N14" s="35" t="s">
        <v>297</v>
      </c>
      <c r="O14" s="35"/>
      <c r="P14" s="35"/>
      <c r="Q14" s="71" t="s">
        <v>228</v>
      </c>
      <c r="R14" s="71"/>
      <c r="S14" s="71"/>
      <c r="T14" s="71"/>
      <c r="U14" s="71"/>
      <c r="V14" s="23"/>
      <c r="W14" s="23"/>
      <c r="X14" s="23"/>
      <c r="Y14" s="23"/>
    </row>
    <row r="15" spans="1:25" ht="16.5" customHeight="1" x14ac:dyDescent="0.25">
      <c r="A15" s="191" t="str">
        <f>IF('4. Inmueble'!A31="","",'4. Inmueble'!A31)</f>
        <v/>
      </c>
      <c r="B15" s="192"/>
      <c r="C15" s="193" t="str">
        <f>IF('4. Inmueble'!K31="","",'4. Inmueble'!K31)</f>
        <v/>
      </c>
      <c r="D15" s="194"/>
      <c r="E15" s="195" t="str">
        <f>IF('4. Inmueble'!H31="","",'4. Inmueble'!H31)</f>
        <v/>
      </c>
      <c r="F15" s="195" t="str">
        <f>IF('4. Inmueble'!I31="","",'4. Inmueble'!I31)</f>
        <v/>
      </c>
      <c r="G15" s="195" t="str">
        <f>IF('4. Inmueble'!G31="","",'4. Inmueble'!G31)</f>
        <v/>
      </c>
      <c r="H15" s="196" t="str">
        <f>IF(AND(ISNUMBER(E15),E15&gt;=0,ISNUMBER(F15),F15&gt;0,E15&lt;=F15),0.5*((E15/F15)+(E15/F15)^2),"")</f>
        <v/>
      </c>
      <c r="I15" s="196" t="str">
        <f>IF(AND(ISNUMBER(G15),COUNTIF($N$37:$N$42,G15)=1),VLOOKUP(G15,$N$37:$O$42,2,FALSE),"")</f>
        <v/>
      </c>
      <c r="J15" s="196" t="str">
        <f>IF(AND(ISNUMBER(H15),ISNUMBER(I15)),(1-H15)*(1-I15),"")</f>
        <v/>
      </c>
      <c r="K15" s="197" t="str">
        <f>IF(AND(ISNUMBER(D15),D15&gt;0,ISNUMBER(J15)),D15*J15,"")</f>
        <v/>
      </c>
      <c r="L15" s="198" t="str">
        <f>IF(AND(A15&lt;&gt;"",ISNUMBER(C15),C15&gt;0,ISNUMBER(K15)),C15*K15,"")</f>
        <v/>
      </c>
      <c r="M15" s="23"/>
      <c r="N15" s="35" t="s">
        <v>298</v>
      </c>
      <c r="O15" s="35"/>
      <c r="P15" s="35"/>
      <c r="Q15" s="71" t="s">
        <v>228</v>
      </c>
      <c r="R15" s="71"/>
      <c r="S15" s="71"/>
      <c r="T15" s="71"/>
      <c r="U15" s="71"/>
      <c r="V15" s="23"/>
      <c r="W15" s="23"/>
      <c r="X15" s="23"/>
      <c r="Y15" s="23"/>
    </row>
    <row r="16" spans="1:25" ht="16.5" customHeight="1" x14ac:dyDescent="0.25">
      <c r="A16" s="191" t="str">
        <f>IF('4. Inmueble'!A32="","",'4. Inmueble'!A32)</f>
        <v/>
      </c>
      <c r="B16" s="192"/>
      <c r="C16" s="193" t="str">
        <f>IF('4. Inmueble'!K32="","",'4. Inmueble'!K32)</f>
        <v/>
      </c>
      <c r="D16" s="194"/>
      <c r="E16" s="195" t="str">
        <f>IF('4. Inmueble'!H32="","",'4. Inmueble'!H32)</f>
        <v/>
      </c>
      <c r="F16" s="195" t="str">
        <f>IF('4. Inmueble'!I32="","",'4. Inmueble'!I32)</f>
        <v/>
      </c>
      <c r="G16" s="195" t="str">
        <f>IF('4. Inmueble'!G32="","",'4. Inmueble'!G32)</f>
        <v/>
      </c>
      <c r="H16" s="199" t="str">
        <f>IF(AND(ISNUMBER(E16),E16&gt;=0,ISNUMBER(F16),F16&gt;0,E16&lt;=F16),0.5*((E16/F16)+(E16/F16)^2),"")</f>
        <v/>
      </c>
      <c r="I16" s="199" t="str">
        <f>IF(AND(ISNUMBER(G16),COUNTIF($N$37:$N$42,G16)=1),VLOOKUP(G16,$N$37:$O$42,2,FALSE),"")</f>
        <v/>
      </c>
      <c r="J16" s="199" t="str">
        <f>IF(AND(ISNUMBER(H16),ISNUMBER(I16)),(1-H16)*(1-I16),"")</f>
        <v/>
      </c>
      <c r="K16" s="200" t="str">
        <f>IF(AND(ISNUMBER(D16),D16&gt;0,ISNUMBER(J16)),D16*J16,"")</f>
        <v/>
      </c>
      <c r="L16" s="201" t="str">
        <f>IF(AND(A16&lt;&gt;"",ISNUMBER(C16),C16&gt;0,ISNUMBER(K16)),C16*K16,"")</f>
        <v/>
      </c>
      <c r="M16" s="23"/>
      <c r="N16" s="35" t="s">
        <v>299</v>
      </c>
      <c r="O16" s="35"/>
      <c r="P16" s="35"/>
      <c r="Q16" s="71"/>
      <c r="R16" s="71"/>
      <c r="S16" s="71"/>
      <c r="T16" s="71"/>
      <c r="U16" s="71"/>
      <c r="V16" s="23"/>
      <c r="W16" s="23"/>
      <c r="X16" s="23"/>
      <c r="Y16" s="23"/>
    </row>
    <row r="17" spans="1:25" ht="16.5" customHeight="1" x14ac:dyDescent="0.25">
      <c r="A17" s="191" t="str">
        <f>IF('4. Inmueble'!A33="","",'4. Inmueble'!A33)</f>
        <v/>
      </c>
      <c r="B17" s="192"/>
      <c r="C17" s="193" t="str">
        <f>IF('4. Inmueble'!K33="","",'4. Inmueble'!K33)</f>
        <v/>
      </c>
      <c r="D17" s="194"/>
      <c r="E17" s="195" t="str">
        <f>IF('4. Inmueble'!H33="","",'4. Inmueble'!H33)</f>
        <v/>
      </c>
      <c r="F17" s="195" t="str">
        <f>IF('4. Inmueble'!I33="","",'4. Inmueble'!I33)</f>
        <v/>
      </c>
      <c r="G17" s="195" t="str">
        <f>IF('4. Inmueble'!G33="","",'4. Inmueble'!G33)</f>
        <v/>
      </c>
      <c r="H17" s="196" t="str">
        <f>IF(AND(ISNUMBER(E17),E17&gt;=0,ISNUMBER(F17),F17&gt;0,E17&lt;=F17),0.5*((E17/F17)+(E17/F17)^2),"")</f>
        <v/>
      </c>
      <c r="I17" s="196" t="str">
        <f>IF(AND(ISNUMBER(G17),COUNTIF($N$37:$N$42,G17)=1),VLOOKUP(G17,$N$37:$O$42,2,FALSE),"")</f>
        <v/>
      </c>
      <c r="J17" s="196" t="str">
        <f>IF(AND(ISNUMBER(H17),ISNUMBER(I17)),(1-H17)*(1-I17),"")</f>
        <v/>
      </c>
      <c r="K17" s="197" t="str">
        <f>IF(AND(ISNUMBER(D17),D17&gt;0,ISNUMBER(J17)),D17*J17,"")</f>
        <v/>
      </c>
      <c r="L17" s="198" t="str">
        <f>IF(AND(A17&lt;&gt;"",ISNUMBER(C17),C17&gt;0,ISNUMBER(K17)),C17*K17,"")</f>
        <v/>
      </c>
      <c r="M17" s="23"/>
      <c r="N17" s="24"/>
      <c r="O17" s="24"/>
      <c r="P17" s="24"/>
      <c r="Q17" s="24"/>
      <c r="R17" s="24"/>
      <c r="S17" s="24"/>
      <c r="T17" s="24"/>
      <c r="U17" s="24"/>
      <c r="V17" s="23"/>
      <c r="W17" s="23"/>
      <c r="X17" s="23"/>
      <c r="Y17" s="23"/>
    </row>
    <row r="18" spans="1:25" ht="16.5" customHeight="1" x14ac:dyDescent="0.25">
      <c r="A18" s="191" t="str">
        <f>IF('4. Inmueble'!A34="","",'4. Inmueble'!A34)</f>
        <v/>
      </c>
      <c r="B18" s="192"/>
      <c r="C18" s="193" t="str">
        <f>IF('4. Inmueble'!K34="","",'4. Inmueble'!K34)</f>
        <v/>
      </c>
      <c r="D18" s="194"/>
      <c r="E18" s="195" t="str">
        <f>IF('4. Inmueble'!H34="","",'4. Inmueble'!H34)</f>
        <v/>
      </c>
      <c r="F18" s="195" t="str">
        <f>IF('4. Inmueble'!I34="","",'4. Inmueble'!I34)</f>
        <v/>
      </c>
      <c r="G18" s="195" t="str">
        <f>IF('4. Inmueble'!G34="","",'4. Inmueble'!G34)</f>
        <v/>
      </c>
      <c r="H18" s="199" t="str">
        <f>IF(AND(ISNUMBER(E18),E18&gt;=0,ISNUMBER(F18),F18&gt;0,E18&lt;=F18),0.5*((E18/F18)+(E18/F18)^2),"")</f>
        <v/>
      </c>
      <c r="I18" s="199" t="str">
        <f>IF(AND(ISNUMBER(G18),COUNTIF($N$37:$N$42,G18)=1),VLOOKUP(G18,$N$37:$O$42,2,FALSE),"")</f>
        <v/>
      </c>
      <c r="J18" s="199" t="str">
        <f>IF(AND(ISNUMBER(H18),ISNUMBER(I18)),(1-H18)*(1-I18),"")</f>
        <v/>
      </c>
      <c r="K18" s="200" t="str">
        <f>IF(AND(ISNUMBER(D18),D18&gt;0,ISNUMBER(J18)),D18*J18,"")</f>
        <v/>
      </c>
      <c r="L18" s="201" t="str">
        <f>IF(AND(A18&lt;&gt;"",ISNUMBER(C18),C18&gt;0,ISNUMBER(K18)),C18*K18,"")</f>
        <v/>
      </c>
      <c r="M18" s="23"/>
      <c r="N18" s="24"/>
      <c r="O18" s="24"/>
      <c r="P18" s="24"/>
      <c r="Q18" s="24"/>
      <c r="R18" s="24"/>
      <c r="S18" s="24"/>
      <c r="T18" s="24"/>
      <c r="U18" s="24"/>
      <c r="V18" s="23"/>
      <c r="W18" s="23"/>
      <c r="X18" s="23"/>
      <c r="Y18" s="23"/>
    </row>
    <row r="19" spans="1:25" ht="16.5" customHeight="1" x14ac:dyDescent="0.25">
      <c r="A19" s="336" t="s">
        <v>172</v>
      </c>
      <c r="B19" s="202"/>
      <c r="C19" s="202"/>
      <c r="D19" s="202"/>
      <c r="E19" s="202"/>
      <c r="F19" s="202"/>
      <c r="G19" s="202"/>
      <c r="H19" s="202"/>
      <c r="I19" s="202"/>
      <c r="J19" s="202"/>
      <c r="K19" s="202"/>
      <c r="L19" s="337" t="str">
        <f>IF(COUNT(L15:L18)&gt;0,SUM(L15:L18),"")</f>
        <v/>
      </c>
      <c r="M19" s="23"/>
      <c r="N19" s="24"/>
      <c r="O19" s="24"/>
      <c r="P19" s="24"/>
      <c r="Q19" s="24"/>
      <c r="R19" s="24"/>
      <c r="S19" s="24"/>
      <c r="T19" s="24"/>
      <c r="U19" s="24"/>
      <c r="V19" s="23"/>
      <c r="W19" s="23"/>
      <c r="X19" s="23"/>
      <c r="Y19" s="23"/>
    </row>
    <row r="20" spans="1:25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23"/>
      <c r="N20" s="24"/>
      <c r="O20" s="24"/>
      <c r="P20" s="24"/>
      <c r="Q20" s="24"/>
      <c r="R20" s="24"/>
      <c r="S20" s="24"/>
      <c r="T20" s="24"/>
      <c r="U20" s="24"/>
      <c r="V20" s="23"/>
      <c r="W20" s="23"/>
      <c r="X20" s="23"/>
      <c r="Y20" s="23"/>
    </row>
    <row r="21" spans="1:25" ht="18" customHeight="1" x14ac:dyDescent="0.25">
      <c r="A21" s="295" t="s">
        <v>173</v>
      </c>
      <c r="B21" s="41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23"/>
      <c r="N21" s="24"/>
      <c r="O21" s="24"/>
      <c r="P21" s="24"/>
      <c r="Q21" s="24"/>
      <c r="R21" s="24"/>
      <c r="S21" s="24"/>
      <c r="T21" s="24"/>
      <c r="U21" s="24"/>
      <c r="V21" s="23"/>
      <c r="W21" s="23"/>
      <c r="X21" s="23"/>
      <c r="Y21" s="23"/>
    </row>
    <row r="22" spans="1:25" ht="20.100000000000001" customHeight="1" x14ac:dyDescent="0.25">
      <c r="A22" s="302" t="s">
        <v>174</v>
      </c>
      <c r="B22" s="110"/>
      <c r="C22" s="110"/>
      <c r="D22" s="110"/>
      <c r="E22" s="109" t="s">
        <v>175</v>
      </c>
      <c r="F22" s="110"/>
      <c r="G22" s="111" t="s">
        <v>176</v>
      </c>
      <c r="H22" s="109" t="s">
        <v>177</v>
      </c>
      <c r="I22" s="110"/>
      <c r="J22" s="111" t="s">
        <v>178</v>
      </c>
      <c r="K22" s="109" t="s">
        <v>171</v>
      </c>
      <c r="L22" s="110"/>
      <c r="M22" s="23"/>
      <c r="N22" s="24"/>
      <c r="O22" s="24"/>
      <c r="P22" s="24"/>
      <c r="Q22" s="24"/>
      <c r="R22" s="24"/>
      <c r="S22" s="24"/>
      <c r="T22" s="24"/>
      <c r="U22" s="24"/>
      <c r="V22" s="23"/>
      <c r="W22" s="23"/>
      <c r="X22" s="23"/>
      <c r="Y22" s="23"/>
    </row>
    <row r="23" spans="1:25" ht="17.100000000000001" customHeight="1" x14ac:dyDescent="0.25">
      <c r="A23" s="203"/>
      <c r="B23" s="204"/>
      <c r="C23" s="204"/>
      <c r="D23" s="204"/>
      <c r="E23" s="112"/>
      <c r="F23" s="113"/>
      <c r="G23" s="121"/>
      <c r="H23" s="205"/>
      <c r="I23" s="206"/>
      <c r="J23" s="124"/>
      <c r="K23" s="207" t="str">
        <f>IF(AND(A23&lt;&gt;"",E23&lt;&gt;"",ISNUMBER(G23),G23&gt;0,ISNUMBER(H23),H23&gt;0,ISNUMBER(J23),J23&gt;=0,J23&lt;=1),G23*H23*J23,"")</f>
        <v/>
      </c>
      <c r="L23" s="207"/>
      <c r="M23" s="23"/>
      <c r="N23" s="24"/>
      <c r="O23" s="24"/>
      <c r="P23" s="24"/>
      <c r="Q23" s="24"/>
      <c r="R23" s="24"/>
      <c r="S23" s="24"/>
      <c r="T23" s="24"/>
      <c r="U23" s="24"/>
      <c r="V23" s="23"/>
      <c r="W23" s="23"/>
      <c r="X23" s="23"/>
      <c r="Y23" s="23"/>
    </row>
    <row r="24" spans="1:25" ht="17.100000000000001" customHeight="1" x14ac:dyDescent="0.25">
      <c r="A24" s="203"/>
      <c r="B24" s="204"/>
      <c r="C24" s="204"/>
      <c r="D24" s="204"/>
      <c r="E24" s="112"/>
      <c r="F24" s="113"/>
      <c r="G24" s="121"/>
      <c r="H24" s="205"/>
      <c r="I24" s="206"/>
      <c r="J24" s="124"/>
      <c r="K24" s="208" t="str">
        <f>IF(AND(A24&lt;&gt;"",E24&lt;&gt;"",ISNUMBER(G24),G24&gt;0,ISNUMBER(H24),H24&gt;0,ISNUMBER(J24),J24&gt;=0,J24&lt;=1),G24*H24*J24,"")</f>
        <v/>
      </c>
      <c r="L24" s="209"/>
      <c r="M24" s="23"/>
      <c r="N24" s="24"/>
      <c r="O24" s="24"/>
      <c r="P24" s="24"/>
      <c r="Q24" s="24"/>
      <c r="R24" s="24"/>
      <c r="S24" s="24"/>
      <c r="T24" s="24"/>
      <c r="U24" s="24"/>
      <c r="V24" s="23"/>
      <c r="W24" s="23"/>
      <c r="X24" s="23"/>
      <c r="Y24" s="23"/>
    </row>
    <row r="25" spans="1:25" ht="17.100000000000001" customHeight="1" x14ac:dyDescent="0.25">
      <c r="A25" s="338"/>
      <c r="B25" s="204"/>
      <c r="C25" s="204"/>
      <c r="D25" s="204"/>
      <c r="E25" s="112"/>
      <c r="F25" s="113"/>
      <c r="G25" s="121"/>
      <c r="H25" s="205"/>
      <c r="I25" s="206"/>
      <c r="J25" s="124"/>
      <c r="K25" s="339" t="str">
        <f>IF(AND(A25&lt;&gt;"",E25&lt;&gt;"",ISNUMBER(G25),G25&gt;0,ISNUMBER(H25),H25&gt;0,ISNUMBER(J25),J25&gt;=0,J25&lt;=1),G25*H25*J25,"")</f>
        <v/>
      </c>
      <c r="L25" s="207"/>
      <c r="M25" s="23"/>
      <c r="N25" s="24"/>
      <c r="O25" s="24"/>
      <c r="P25" s="24"/>
      <c r="Q25" s="24"/>
      <c r="R25" s="24"/>
      <c r="S25" s="24"/>
      <c r="T25" s="24"/>
      <c r="U25" s="24"/>
      <c r="V25" s="23"/>
      <c r="W25" s="23"/>
      <c r="X25" s="23"/>
      <c r="Y25" s="23"/>
    </row>
    <row r="26" spans="1:25" ht="20.100000000000001" customHeight="1" x14ac:dyDescent="0.25">
      <c r="A26" s="304" t="s">
        <v>179</v>
      </c>
      <c r="B26" s="331"/>
      <c r="C26" s="185"/>
      <c r="D26" s="185"/>
      <c r="E26" s="185"/>
      <c r="F26" s="185"/>
      <c r="G26" s="185"/>
      <c r="H26" s="185"/>
      <c r="I26" s="185"/>
      <c r="J26" s="185"/>
      <c r="K26" s="333" t="str">
        <f>SUM(K23:K25)</f>
        <v/>
      </c>
      <c r="L26" s="186"/>
      <c r="M26" s="23"/>
      <c r="N26" s="24"/>
      <c r="O26" s="24"/>
      <c r="P26" s="24"/>
      <c r="Q26" s="24"/>
      <c r="R26" s="24"/>
      <c r="S26" s="24"/>
      <c r="T26" s="24"/>
      <c r="U26" s="24"/>
      <c r="V26" s="23"/>
      <c r="W26" s="23"/>
      <c r="X26" s="23"/>
      <c r="Y26" s="23"/>
    </row>
    <row r="27" spans="1:25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23"/>
      <c r="N27" s="24"/>
      <c r="O27" s="24"/>
      <c r="P27" s="24"/>
      <c r="Q27" s="24"/>
      <c r="R27" s="24"/>
      <c r="S27" s="24"/>
      <c r="T27" s="24"/>
      <c r="U27" s="24"/>
      <c r="V27" s="23"/>
      <c r="W27" s="23"/>
      <c r="X27" s="23"/>
      <c r="Y27" s="23"/>
    </row>
    <row r="28" spans="1:25" ht="26.1" customHeight="1" x14ac:dyDescent="0.25">
      <c r="A28" s="63" t="s">
        <v>180</v>
      </c>
      <c r="B28" s="64"/>
      <c r="C28" s="64"/>
      <c r="D28" s="64"/>
      <c r="E28" s="64"/>
      <c r="F28" s="64"/>
      <c r="G28" s="64"/>
      <c r="H28" s="64"/>
      <c r="I28" s="64"/>
      <c r="J28" s="65" t="str">
        <f>IF(AND(ISNUMBER(J11),ISNUMBER(L19),ISNUMBER(K26)),J11+L19+K26,"")</f>
        <v/>
      </c>
      <c r="K28" s="66"/>
      <c r="L28" s="66"/>
      <c r="M28" s="23"/>
      <c r="N28" s="24"/>
      <c r="O28" s="24"/>
      <c r="P28" s="24"/>
      <c r="Q28" s="24"/>
      <c r="R28" s="24"/>
      <c r="S28" s="24"/>
      <c r="T28" s="24"/>
      <c r="U28" s="24"/>
      <c r="V28" s="23"/>
      <c r="W28" s="23"/>
      <c r="X28" s="23"/>
      <c r="Y28" s="23"/>
    </row>
    <row r="29" spans="1:25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23"/>
      <c r="N29" s="24"/>
      <c r="O29" s="24"/>
      <c r="P29" s="24"/>
      <c r="Q29" s="24"/>
      <c r="R29" s="24"/>
      <c r="S29" s="24"/>
      <c r="T29" s="24"/>
      <c r="U29" s="24"/>
      <c r="V29" s="23"/>
      <c r="W29" s="23"/>
      <c r="X29" s="23"/>
      <c r="Y29" s="23"/>
    </row>
    <row r="30" spans="1:25" ht="16.5" customHeight="1" x14ac:dyDescent="0.25">
      <c r="A30" s="340" t="s">
        <v>344</v>
      </c>
      <c r="B30" s="210"/>
      <c r="C30" s="210"/>
      <c r="D30" s="210"/>
      <c r="E30" s="210"/>
      <c r="F30" s="210"/>
      <c r="G30" s="210"/>
      <c r="H30" s="210"/>
      <c r="I30" s="210"/>
      <c r="J30" s="210"/>
      <c r="K30" s="210"/>
      <c r="L30" s="211"/>
      <c r="M30" s="23"/>
      <c r="N30" s="24"/>
      <c r="O30" s="24"/>
      <c r="P30" s="24"/>
      <c r="Q30" s="24"/>
      <c r="R30" s="24"/>
      <c r="S30" s="24"/>
      <c r="T30" s="24"/>
      <c r="U30" s="24"/>
      <c r="V30" s="23"/>
      <c r="W30" s="23"/>
      <c r="X30" s="23"/>
      <c r="Y30" s="23"/>
    </row>
    <row r="31" spans="1:25" ht="16.5" customHeight="1" x14ac:dyDescent="0.25">
      <c r="A31" s="341" t="s">
        <v>181</v>
      </c>
      <c r="B31" s="213"/>
      <c r="C31" s="213"/>
      <c r="D31" s="213"/>
      <c r="E31" s="213"/>
      <c r="F31" s="213"/>
      <c r="G31" s="213"/>
      <c r="H31" s="213"/>
      <c r="I31" s="213"/>
      <c r="J31" s="213"/>
      <c r="K31" s="213"/>
      <c r="L31" s="214"/>
      <c r="M31" s="23"/>
      <c r="N31" s="24"/>
      <c r="O31" s="24"/>
      <c r="P31" s="24"/>
      <c r="Q31" s="24"/>
      <c r="R31" s="24"/>
      <c r="S31" s="24"/>
      <c r="T31" s="24"/>
      <c r="U31" s="24"/>
      <c r="V31" s="23"/>
      <c r="W31" s="23"/>
      <c r="X31" s="23"/>
      <c r="Y31" s="23"/>
    </row>
    <row r="32" spans="1:25" ht="16.5" customHeight="1" x14ac:dyDescent="0.25">
      <c r="A32" s="212" t="s">
        <v>182</v>
      </c>
      <c r="B32" s="213"/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M32" s="23"/>
      <c r="N32" s="24"/>
      <c r="O32" s="24"/>
      <c r="P32" s="24"/>
      <c r="Q32" s="24"/>
      <c r="R32" s="24"/>
      <c r="S32" s="24"/>
      <c r="T32" s="24"/>
      <c r="U32" s="24"/>
      <c r="V32" s="23"/>
      <c r="W32" s="23"/>
      <c r="X32" s="23"/>
      <c r="Y32" s="23"/>
    </row>
    <row r="33" spans="1:25" ht="16.5" customHeight="1" x14ac:dyDescent="0.25">
      <c r="A33" s="215" t="s">
        <v>345</v>
      </c>
      <c r="B33" s="216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3"/>
      <c r="N33" s="24"/>
      <c r="O33" s="24"/>
      <c r="P33" s="24"/>
      <c r="Q33" s="24"/>
      <c r="R33" s="24"/>
      <c r="S33" s="24"/>
      <c r="T33" s="24"/>
      <c r="U33" s="24"/>
      <c r="V33" s="23"/>
      <c r="W33" s="23"/>
      <c r="X33" s="23"/>
      <c r="Y33" s="23"/>
    </row>
    <row r="34" spans="1:25" ht="15" customHeight="1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23"/>
      <c r="N34" s="24"/>
      <c r="O34" s="24"/>
      <c r="P34" s="24"/>
      <c r="Q34" s="24"/>
      <c r="R34" s="24"/>
      <c r="S34" s="24"/>
      <c r="T34" s="24"/>
      <c r="U34" s="24"/>
      <c r="V34" s="23"/>
      <c r="W34" s="23"/>
      <c r="X34" s="23"/>
      <c r="Y34" s="23"/>
    </row>
    <row r="35" spans="1:25" ht="16.5" customHeight="1" x14ac:dyDescent="0.25">
      <c r="A35" s="218" t="s">
        <v>347</v>
      </c>
      <c r="B35" s="219"/>
      <c r="C35" s="219"/>
      <c r="D35" s="219"/>
      <c r="E35" s="219"/>
      <c r="F35" s="219"/>
      <c r="G35" s="219"/>
      <c r="H35" s="219"/>
      <c r="I35" s="219"/>
      <c r="J35" s="219"/>
      <c r="K35" s="219"/>
      <c r="L35" s="220"/>
      <c r="M35" s="23"/>
      <c r="N35" s="221" t="s">
        <v>346</v>
      </c>
      <c r="O35" s="222"/>
      <c r="P35" s="222"/>
      <c r="Q35" s="222"/>
      <c r="R35" s="222"/>
      <c r="S35" s="222"/>
      <c r="T35" s="222"/>
      <c r="U35" s="222"/>
      <c r="V35" s="223"/>
      <c r="W35" s="223"/>
      <c r="X35" s="223"/>
      <c r="Y35" s="223"/>
    </row>
    <row r="36" spans="1:25" ht="16.5" customHeight="1" x14ac:dyDescent="0.25">
      <c r="A36" s="224"/>
      <c r="B36" s="225"/>
      <c r="C36" s="225"/>
      <c r="D36" s="225"/>
      <c r="E36" s="225"/>
      <c r="F36" s="225"/>
      <c r="G36" s="225"/>
      <c r="H36" s="225"/>
      <c r="I36" s="225"/>
      <c r="J36" s="225"/>
      <c r="K36" s="225"/>
      <c r="L36" s="226"/>
      <c r="M36" s="23"/>
      <c r="N36" s="227" t="s">
        <v>183</v>
      </c>
      <c r="O36" s="227" t="s">
        <v>184</v>
      </c>
      <c r="P36" s="28" t="s">
        <v>185</v>
      </c>
      <c r="Q36" s="228"/>
      <c r="R36" s="228"/>
      <c r="S36" s="228"/>
      <c r="T36" s="228"/>
      <c r="U36" s="228"/>
      <c r="V36" s="229"/>
      <c r="W36" s="229"/>
      <c r="X36" s="229"/>
      <c r="Y36" s="229"/>
    </row>
    <row r="37" spans="1:25" ht="16.5" customHeight="1" x14ac:dyDescent="0.25">
      <c r="A37" s="224"/>
      <c r="B37" s="225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M37" s="23"/>
      <c r="N37" s="230">
        <v>1</v>
      </c>
      <c r="O37" s="231">
        <v>0</v>
      </c>
      <c r="P37" s="232" t="s">
        <v>308</v>
      </c>
      <c r="Q37" s="232"/>
      <c r="R37" s="232"/>
      <c r="S37" s="232"/>
      <c r="T37" s="232"/>
      <c r="U37" s="232"/>
      <c r="V37" s="233"/>
      <c r="W37" s="233"/>
      <c r="X37" s="233"/>
      <c r="Y37" s="234"/>
    </row>
    <row r="38" spans="1:25" ht="16.5" customHeight="1" x14ac:dyDescent="0.25">
      <c r="A38" s="224"/>
      <c r="B38" s="225"/>
      <c r="C38" s="225"/>
      <c r="D38" s="225"/>
      <c r="E38" s="225"/>
      <c r="F38" s="225"/>
      <c r="G38" s="225"/>
      <c r="H38" s="225"/>
      <c r="I38" s="225"/>
      <c r="J38" s="225"/>
      <c r="K38" s="225"/>
      <c r="L38" s="226"/>
      <c r="M38" s="23"/>
      <c r="N38" s="235">
        <v>2</v>
      </c>
      <c r="O38" s="236">
        <v>2.52E-2</v>
      </c>
      <c r="P38" s="237" t="s">
        <v>309</v>
      </c>
      <c r="Q38" s="238"/>
      <c r="R38" s="238"/>
      <c r="S38" s="238"/>
      <c r="T38" s="238"/>
      <c r="U38" s="238"/>
      <c r="V38" s="239"/>
      <c r="W38" s="239"/>
      <c r="X38" s="239"/>
      <c r="Y38" s="240"/>
    </row>
    <row r="39" spans="1:25" ht="16.5" customHeight="1" x14ac:dyDescent="0.25">
      <c r="A39" s="241"/>
      <c r="B39" s="242"/>
      <c r="C39" s="242"/>
      <c r="D39" s="242"/>
      <c r="E39" s="242"/>
      <c r="F39" s="242"/>
      <c r="G39" s="242"/>
      <c r="H39" s="242"/>
      <c r="I39" s="242"/>
      <c r="J39" s="242"/>
      <c r="K39" s="242"/>
      <c r="L39" s="243"/>
      <c r="M39" s="23"/>
      <c r="N39" s="244">
        <v>3</v>
      </c>
      <c r="O39" s="245">
        <v>0.18099999999999999</v>
      </c>
      <c r="P39" s="232" t="s">
        <v>310</v>
      </c>
      <c r="Q39" s="232"/>
      <c r="R39" s="232"/>
      <c r="S39" s="232"/>
      <c r="T39" s="232"/>
      <c r="U39" s="232"/>
      <c r="V39" s="233"/>
      <c r="W39" s="233"/>
      <c r="X39" s="233"/>
      <c r="Y39" s="234"/>
    </row>
    <row r="40" spans="1:25" ht="16.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23"/>
      <c r="N40" s="235">
        <v>4</v>
      </c>
      <c r="O40" s="236">
        <v>0.52600000000000002</v>
      </c>
      <c r="P40" s="237" t="s">
        <v>311</v>
      </c>
      <c r="Q40" s="238"/>
      <c r="R40" s="238"/>
      <c r="S40" s="238"/>
      <c r="T40" s="238"/>
      <c r="U40" s="238"/>
      <c r="V40" s="239"/>
      <c r="W40" s="239"/>
      <c r="X40" s="239"/>
      <c r="Y40" s="240"/>
    </row>
    <row r="41" spans="1:25" ht="8.1" customHeight="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23"/>
      <c r="N41" s="244">
        <v>5</v>
      </c>
      <c r="O41" s="246">
        <v>0.752</v>
      </c>
      <c r="P41" s="232" t="s">
        <v>312</v>
      </c>
      <c r="Q41" s="232"/>
      <c r="R41" s="232"/>
      <c r="S41" s="232"/>
      <c r="T41" s="232"/>
      <c r="U41" s="232"/>
      <c r="V41" s="233"/>
      <c r="W41" s="233"/>
      <c r="X41" s="233"/>
      <c r="Y41" s="234"/>
    </row>
    <row r="42" spans="1:25" ht="21.95" customHeight="1" x14ac:dyDescent="0.25">
      <c r="A42" s="292" t="s">
        <v>300</v>
      </c>
      <c r="B42" s="292"/>
      <c r="C42" s="292"/>
      <c r="D42" s="292"/>
      <c r="E42" s="292"/>
      <c r="F42" s="292"/>
      <c r="G42" s="292"/>
      <c r="H42" s="292"/>
      <c r="I42" s="292"/>
      <c r="J42" s="292"/>
      <c r="K42" s="292"/>
      <c r="L42" s="292"/>
      <c r="M42" s="23"/>
      <c r="N42" s="235">
        <v>6</v>
      </c>
      <c r="O42" s="236">
        <v>1</v>
      </c>
      <c r="P42" s="237" t="s">
        <v>313</v>
      </c>
      <c r="Q42" s="238"/>
      <c r="R42" s="238"/>
      <c r="S42" s="238"/>
      <c r="T42" s="238"/>
      <c r="U42" s="238"/>
      <c r="V42" s="239"/>
      <c r="W42" s="239"/>
      <c r="X42" s="239"/>
      <c r="Y42" s="240"/>
    </row>
    <row r="43" spans="1:25" ht="16.5" customHeight="1" x14ac:dyDescent="0.25">
      <c r="A43" s="35" t="str">
        <f>IF(Q9="","Por documentar: costo nuevo, edad, vida útil y método de depreciación.","Costo: "&amp;Q9&amp;CHAR(10)&amp;"Edad y vida útil: "&amp;Q10&amp;CHAR(10)&amp;"Método y supuestos: "&amp;Q16)</f>
        <v>Por documentar: costo nuevo, edad, vida útil y método de depreciación.</v>
      </c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23"/>
      <c r="N43" s="244"/>
      <c r="O43" s="245"/>
      <c r="P43" s="232"/>
      <c r="Q43" s="232"/>
      <c r="R43" s="232"/>
      <c r="S43" s="232"/>
      <c r="T43" s="232"/>
      <c r="U43" s="232"/>
      <c r="V43" s="233"/>
      <c r="W43" s="233"/>
      <c r="X43" s="233"/>
      <c r="Y43" s="234"/>
    </row>
    <row r="44" spans="1:25" ht="16.5" customHeight="1" x14ac:dyDescent="0.25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23"/>
      <c r="N44" s="235"/>
      <c r="O44" s="236"/>
      <c r="P44" s="237"/>
      <c r="Q44" s="238"/>
      <c r="R44" s="238"/>
      <c r="S44" s="238"/>
      <c r="T44" s="238"/>
      <c r="U44" s="238"/>
      <c r="V44" s="239"/>
      <c r="W44" s="239"/>
      <c r="X44" s="239"/>
      <c r="Y44" s="240"/>
    </row>
    <row r="45" spans="1:25" ht="16.5" customHeight="1" x14ac:dyDescent="0.2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23"/>
      <c r="N45" s="247"/>
      <c r="O45" s="248"/>
      <c r="P45" s="232"/>
      <c r="Q45" s="232"/>
      <c r="R45" s="232"/>
      <c r="S45" s="232"/>
      <c r="T45" s="232"/>
      <c r="U45" s="232"/>
      <c r="V45" s="233"/>
      <c r="W45" s="233"/>
      <c r="X45" s="233"/>
      <c r="Y45" s="234"/>
    </row>
    <row r="46" spans="1:25" x14ac:dyDescent="0.25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23"/>
      <c r="N46" s="24"/>
      <c r="O46" s="24"/>
      <c r="P46" s="24"/>
      <c r="Q46" s="24"/>
      <c r="R46" s="24"/>
      <c r="S46" s="24"/>
      <c r="T46" s="24"/>
      <c r="U46" s="24"/>
      <c r="V46" s="23"/>
      <c r="W46" s="23"/>
      <c r="X46" s="23"/>
      <c r="Y46" s="23"/>
    </row>
    <row r="47" spans="1:25" ht="16.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N47" s="2"/>
      <c r="O47" s="2"/>
      <c r="P47" s="2"/>
      <c r="Q47" s="2"/>
      <c r="R47" s="2"/>
      <c r="S47" s="2"/>
      <c r="T47" s="2"/>
      <c r="U47" s="2"/>
    </row>
    <row r="48" spans="1:25" ht="16.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N48" s="2"/>
      <c r="O48" s="2"/>
      <c r="P48" s="2"/>
      <c r="Q48" s="2"/>
      <c r="R48" s="2"/>
      <c r="S48" s="2"/>
      <c r="T48" s="2"/>
      <c r="U48" s="2"/>
    </row>
    <row r="49" spans="1:21" ht="16.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N49" s="2"/>
      <c r="O49" s="2"/>
      <c r="P49" s="2"/>
      <c r="Q49" s="2"/>
      <c r="R49" s="2"/>
      <c r="S49" s="2"/>
      <c r="T49" s="2"/>
      <c r="U49" s="2"/>
    </row>
    <row r="50" spans="1:21" ht="16.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N50" s="2"/>
      <c r="O50" s="2"/>
      <c r="P50" s="2"/>
      <c r="Q50" s="2"/>
      <c r="R50" s="2"/>
      <c r="S50" s="2"/>
      <c r="T50" s="2"/>
      <c r="U50" s="2"/>
    </row>
    <row r="51" spans="1:21" ht="16.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N51" s="2"/>
      <c r="O51" s="2"/>
      <c r="P51" s="2"/>
      <c r="Q51" s="2"/>
      <c r="R51" s="2"/>
      <c r="S51" s="2"/>
      <c r="T51" s="2"/>
      <c r="U51" s="2"/>
    </row>
    <row r="52" spans="1:2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N52" s="2"/>
      <c r="O52" s="2"/>
      <c r="P52" s="2"/>
      <c r="Q52" s="2"/>
      <c r="R52" s="2"/>
      <c r="S52" s="2"/>
      <c r="T52" s="2"/>
      <c r="U52" s="2"/>
    </row>
    <row r="53" spans="1:2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N53" s="2"/>
      <c r="O53" s="2"/>
      <c r="P53" s="2"/>
      <c r="Q53" s="2"/>
      <c r="R53" s="2"/>
      <c r="S53" s="2"/>
      <c r="T53" s="2"/>
      <c r="U53" s="2"/>
    </row>
    <row r="54" spans="1:2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N54" s="2"/>
      <c r="O54" s="2"/>
      <c r="P54" s="2"/>
      <c r="Q54" s="2"/>
      <c r="R54" s="2"/>
      <c r="S54" s="2"/>
      <c r="T54" s="2"/>
      <c r="U54" s="2"/>
    </row>
    <row r="55" spans="1:2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N55" s="2"/>
      <c r="O55" s="2"/>
      <c r="P55" s="2"/>
      <c r="Q55" s="2"/>
      <c r="R55" s="2"/>
      <c r="S55" s="2"/>
      <c r="T55" s="2"/>
      <c r="U55" s="2"/>
    </row>
    <row r="56" spans="1:2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N56" s="2"/>
      <c r="O56" s="2"/>
      <c r="P56" s="2"/>
      <c r="Q56" s="2"/>
      <c r="R56" s="2"/>
      <c r="S56" s="2"/>
      <c r="T56" s="2"/>
      <c r="U56" s="2"/>
    </row>
    <row r="57" spans="1:2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N57" s="2"/>
      <c r="O57" s="2"/>
      <c r="P57" s="2"/>
      <c r="Q57" s="2"/>
      <c r="R57" s="2"/>
      <c r="S57" s="2"/>
      <c r="T57" s="2"/>
      <c r="U57" s="2"/>
    </row>
    <row r="58" spans="1:2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N58" s="2"/>
      <c r="O58" s="2"/>
      <c r="P58" s="2"/>
      <c r="Q58" s="2"/>
      <c r="R58" s="2"/>
      <c r="S58" s="2"/>
      <c r="T58" s="2"/>
      <c r="U58" s="2"/>
    </row>
    <row r="59" spans="1:2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N59" s="2"/>
      <c r="O59" s="2"/>
      <c r="P59" s="2"/>
      <c r="Q59" s="2"/>
      <c r="R59" s="2"/>
      <c r="S59" s="2"/>
      <c r="T59" s="2"/>
      <c r="U59" s="2"/>
    </row>
    <row r="60" spans="1:2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N60" s="2"/>
      <c r="O60" s="2"/>
      <c r="P60" s="2"/>
      <c r="Q60" s="2"/>
      <c r="R60" s="2"/>
      <c r="S60" s="2"/>
      <c r="T60" s="2"/>
      <c r="U60" s="2"/>
    </row>
    <row r="61" spans="1:21" x14ac:dyDescent="0.25">
      <c r="N61" s="2"/>
      <c r="O61" s="2"/>
      <c r="P61" s="2"/>
      <c r="Q61" s="2"/>
      <c r="R61" s="2"/>
      <c r="S61" s="2"/>
      <c r="T61" s="2"/>
      <c r="U61" s="2"/>
    </row>
    <row r="62" spans="1:21" x14ac:dyDescent="0.25">
      <c r="N62" s="2"/>
      <c r="O62" s="2"/>
      <c r="P62" s="2"/>
      <c r="Q62" s="2"/>
      <c r="R62" s="2"/>
      <c r="S62" s="2"/>
      <c r="T62" s="2"/>
      <c r="U62" s="2"/>
    </row>
    <row r="63" spans="1:21" x14ac:dyDescent="0.25">
      <c r="N63" s="2"/>
      <c r="O63" s="2"/>
      <c r="P63" s="2"/>
      <c r="Q63" s="2"/>
      <c r="R63" s="2"/>
      <c r="S63" s="2"/>
      <c r="T63" s="2"/>
      <c r="U63" s="2"/>
    </row>
    <row r="64" spans="1:21" x14ac:dyDescent="0.25">
      <c r="N64" s="2"/>
      <c r="O64" s="2"/>
      <c r="P64" s="2"/>
      <c r="Q64" s="2"/>
      <c r="R64" s="2"/>
      <c r="S64" s="2"/>
      <c r="T64" s="2"/>
      <c r="U64" s="2"/>
    </row>
    <row r="65" spans="14:21" x14ac:dyDescent="0.25">
      <c r="N65" s="2"/>
      <c r="O65" s="2"/>
      <c r="P65" s="2"/>
      <c r="Q65" s="2"/>
      <c r="R65" s="2"/>
      <c r="S65" s="2"/>
      <c r="T65" s="2"/>
      <c r="U65" s="2"/>
    </row>
    <row r="66" spans="14:21" x14ac:dyDescent="0.25">
      <c r="N66" s="2"/>
      <c r="O66" s="2"/>
      <c r="P66" s="2"/>
      <c r="Q66" s="2"/>
      <c r="R66" s="2"/>
      <c r="S66" s="2"/>
      <c r="T66" s="2"/>
      <c r="U66" s="2"/>
    </row>
    <row r="67" spans="14:21" x14ac:dyDescent="0.25">
      <c r="N67" s="2"/>
      <c r="O67" s="2"/>
      <c r="P67" s="2"/>
      <c r="Q67" s="2"/>
      <c r="R67" s="2"/>
      <c r="S67" s="2"/>
      <c r="T67" s="2"/>
      <c r="U67" s="2"/>
    </row>
    <row r="68" spans="14:21" x14ac:dyDescent="0.25">
      <c r="N68" s="2"/>
      <c r="O68" s="2"/>
      <c r="P68" s="2"/>
      <c r="Q68" s="2"/>
      <c r="R68" s="2"/>
      <c r="S68" s="2"/>
      <c r="T68" s="2"/>
      <c r="U68" s="2"/>
    </row>
    <row r="69" spans="14:21" x14ac:dyDescent="0.25">
      <c r="N69" s="2"/>
      <c r="O69" s="2"/>
      <c r="P69" s="2"/>
      <c r="Q69" s="2"/>
      <c r="R69" s="2"/>
      <c r="S69" s="2"/>
      <c r="T69" s="2"/>
      <c r="U69" s="2"/>
    </row>
    <row r="70" spans="14:21" x14ac:dyDescent="0.25">
      <c r="N70" s="2"/>
      <c r="O70" s="2"/>
      <c r="P70" s="2"/>
      <c r="Q70" s="2"/>
      <c r="R70" s="2"/>
      <c r="S70" s="2"/>
      <c r="T70" s="2"/>
      <c r="U70" s="2"/>
    </row>
    <row r="71" spans="14:21" x14ac:dyDescent="0.25">
      <c r="N71" s="2"/>
      <c r="O71" s="2"/>
      <c r="P71" s="2"/>
      <c r="Q71" s="2"/>
      <c r="R71" s="2"/>
      <c r="S71" s="2"/>
      <c r="T71" s="2"/>
      <c r="U71" s="2"/>
    </row>
    <row r="72" spans="14:21" x14ac:dyDescent="0.25">
      <c r="N72" s="2"/>
      <c r="O72" s="2"/>
      <c r="P72" s="2"/>
      <c r="Q72" s="2"/>
      <c r="R72" s="2"/>
      <c r="S72" s="2"/>
      <c r="T72" s="2"/>
      <c r="U72" s="2"/>
    </row>
    <row r="73" spans="14:21" x14ac:dyDescent="0.25">
      <c r="N73" s="2"/>
      <c r="O73" s="2"/>
      <c r="P73" s="2"/>
      <c r="Q73" s="2"/>
      <c r="R73" s="2"/>
      <c r="S73" s="2"/>
      <c r="T73" s="2"/>
      <c r="U73" s="2"/>
    </row>
    <row r="74" spans="14:21" x14ac:dyDescent="0.25">
      <c r="N74" s="2"/>
      <c r="O74" s="2"/>
      <c r="P74" s="2"/>
      <c r="Q74" s="2"/>
      <c r="R74" s="2"/>
      <c r="S74" s="2"/>
      <c r="T74" s="2"/>
      <c r="U74" s="2"/>
    </row>
    <row r="75" spans="14:21" x14ac:dyDescent="0.25">
      <c r="N75" s="2"/>
      <c r="O75" s="2"/>
      <c r="P75" s="2"/>
      <c r="Q75" s="2"/>
      <c r="R75" s="2"/>
      <c r="S75" s="2"/>
      <c r="T75" s="2"/>
      <c r="U75" s="2"/>
    </row>
    <row r="76" spans="14:21" x14ac:dyDescent="0.25">
      <c r="N76" s="2"/>
      <c r="O76" s="2"/>
      <c r="P76" s="2"/>
      <c r="Q76" s="2"/>
      <c r="R76" s="2"/>
      <c r="S76" s="2"/>
      <c r="T76" s="2"/>
      <c r="U76" s="2"/>
    </row>
    <row r="77" spans="14:21" x14ac:dyDescent="0.25">
      <c r="N77" s="2"/>
      <c r="O77" s="2"/>
      <c r="P77" s="2"/>
      <c r="Q77" s="2"/>
      <c r="R77" s="2"/>
      <c r="S77" s="2"/>
      <c r="T77" s="2"/>
      <c r="U77" s="2"/>
    </row>
    <row r="78" spans="14:21" x14ac:dyDescent="0.25">
      <c r="N78" s="2"/>
      <c r="O78" s="2"/>
      <c r="P78" s="2"/>
      <c r="Q78" s="2"/>
      <c r="R78" s="2"/>
      <c r="S78" s="2"/>
      <c r="T78" s="2"/>
      <c r="U78" s="2"/>
    </row>
    <row r="79" spans="14:21" x14ac:dyDescent="0.25">
      <c r="N79" s="2"/>
      <c r="O79" s="2"/>
      <c r="P79" s="2"/>
      <c r="Q79" s="2"/>
      <c r="R79" s="2"/>
      <c r="S79" s="2"/>
      <c r="T79" s="2"/>
      <c r="U79" s="2"/>
    </row>
    <row r="80" spans="14:21" x14ac:dyDescent="0.25">
      <c r="N80" s="2"/>
      <c r="O80" s="2"/>
      <c r="P80" s="2"/>
      <c r="Q80" s="2"/>
      <c r="R80" s="2"/>
      <c r="S80" s="2"/>
      <c r="T80" s="2"/>
      <c r="U80" s="2"/>
    </row>
    <row r="81" spans="14:21" x14ac:dyDescent="0.25">
      <c r="N81" s="2"/>
      <c r="O81" s="2"/>
      <c r="P81" s="2"/>
      <c r="Q81" s="2"/>
      <c r="R81" s="2"/>
      <c r="S81" s="2"/>
      <c r="T81" s="2"/>
      <c r="U81" s="2"/>
    </row>
    <row r="82" spans="14:21" x14ac:dyDescent="0.25">
      <c r="N82" s="2"/>
      <c r="O82" s="2"/>
      <c r="P82" s="2"/>
      <c r="Q82" s="2"/>
      <c r="R82" s="2"/>
      <c r="S82" s="2"/>
      <c r="T82" s="2"/>
      <c r="U82" s="2"/>
    </row>
    <row r="83" spans="14:21" x14ac:dyDescent="0.25">
      <c r="N83" s="2"/>
      <c r="O83" s="2"/>
      <c r="P83" s="2"/>
      <c r="Q83" s="2"/>
      <c r="R83" s="2"/>
      <c r="S83" s="2"/>
      <c r="T83" s="2"/>
      <c r="U83" s="2"/>
    </row>
    <row r="84" spans="14:21" x14ac:dyDescent="0.25">
      <c r="N84" s="2"/>
      <c r="O84" s="2"/>
      <c r="P84" s="2"/>
      <c r="Q84" s="2"/>
      <c r="R84" s="2"/>
      <c r="S84" s="2"/>
      <c r="T84" s="2"/>
      <c r="U84" s="2"/>
    </row>
    <row r="85" spans="14:21" x14ac:dyDescent="0.25">
      <c r="N85" s="2"/>
      <c r="O85" s="2"/>
      <c r="P85" s="2"/>
      <c r="Q85" s="2"/>
      <c r="R85" s="2"/>
      <c r="S85" s="2"/>
      <c r="T85" s="2"/>
      <c r="U85" s="2"/>
    </row>
    <row r="86" spans="14:21" x14ac:dyDescent="0.25">
      <c r="N86" s="2"/>
      <c r="O86" s="2"/>
      <c r="P86" s="2"/>
      <c r="Q86" s="2"/>
      <c r="R86" s="2"/>
      <c r="S86" s="2"/>
      <c r="T86" s="2"/>
      <c r="U86" s="2"/>
    </row>
    <row r="87" spans="14:21" x14ac:dyDescent="0.25">
      <c r="N87" s="2"/>
      <c r="O87" s="2"/>
      <c r="P87" s="2"/>
      <c r="Q87" s="2"/>
      <c r="R87" s="2"/>
      <c r="S87" s="2"/>
      <c r="T87" s="2"/>
      <c r="U87" s="2"/>
    </row>
    <row r="88" spans="14:21" x14ac:dyDescent="0.25">
      <c r="N88" s="2"/>
      <c r="O88" s="2"/>
      <c r="P88" s="2"/>
      <c r="Q88" s="2"/>
      <c r="R88" s="2"/>
      <c r="S88" s="2"/>
      <c r="T88" s="2"/>
      <c r="U88" s="2"/>
    </row>
    <row r="89" spans="14:21" x14ac:dyDescent="0.25">
      <c r="N89" s="2"/>
      <c r="O89" s="2"/>
      <c r="P89" s="2"/>
      <c r="Q89" s="2"/>
      <c r="R89" s="2"/>
      <c r="S89" s="2"/>
      <c r="T89" s="2"/>
      <c r="U89" s="2"/>
    </row>
    <row r="90" spans="14:21" x14ac:dyDescent="0.25">
      <c r="N90" s="2"/>
      <c r="O90" s="2"/>
      <c r="P90" s="2"/>
      <c r="Q90" s="2"/>
      <c r="R90" s="2"/>
      <c r="S90" s="2"/>
      <c r="T90" s="2"/>
      <c r="U90" s="2"/>
    </row>
    <row r="91" spans="14:21" x14ac:dyDescent="0.25">
      <c r="N91" s="2"/>
      <c r="O91" s="2"/>
      <c r="P91" s="2"/>
      <c r="Q91" s="2"/>
      <c r="R91" s="2"/>
      <c r="S91" s="2"/>
      <c r="T91" s="2"/>
      <c r="U91" s="2"/>
    </row>
    <row r="92" spans="14:21" x14ac:dyDescent="0.25">
      <c r="N92" s="2"/>
      <c r="O92" s="2"/>
      <c r="P92" s="2"/>
      <c r="Q92" s="2"/>
      <c r="R92" s="2"/>
      <c r="S92" s="2"/>
      <c r="T92" s="2"/>
      <c r="U92" s="2"/>
    </row>
    <row r="93" spans="14:21" x14ac:dyDescent="0.25">
      <c r="N93" s="2"/>
      <c r="O93" s="2"/>
      <c r="P93" s="2"/>
      <c r="Q93" s="2"/>
      <c r="R93" s="2"/>
      <c r="S93" s="2"/>
      <c r="T93" s="2"/>
      <c r="U93" s="2"/>
    </row>
    <row r="94" spans="14:21" x14ac:dyDescent="0.25">
      <c r="N94" s="2"/>
      <c r="O94" s="2"/>
      <c r="P94" s="2"/>
      <c r="Q94" s="2"/>
      <c r="R94" s="2"/>
      <c r="S94" s="2"/>
      <c r="T94" s="2"/>
      <c r="U94" s="2"/>
    </row>
    <row r="95" spans="14:21" x14ac:dyDescent="0.25">
      <c r="N95" s="2"/>
      <c r="O95" s="2"/>
      <c r="P95" s="2"/>
      <c r="Q95" s="2"/>
      <c r="R95" s="2"/>
      <c r="S95" s="2"/>
      <c r="T95" s="2"/>
      <c r="U95" s="2"/>
    </row>
    <row r="96" spans="14:21" x14ac:dyDescent="0.25">
      <c r="N96" s="2"/>
      <c r="O96" s="2"/>
      <c r="P96" s="2"/>
      <c r="Q96" s="2"/>
      <c r="R96" s="2"/>
      <c r="S96" s="2"/>
      <c r="T96" s="2"/>
      <c r="U96" s="2"/>
    </row>
    <row r="97" spans="14:21" x14ac:dyDescent="0.25">
      <c r="N97" s="2"/>
      <c r="O97" s="2"/>
      <c r="P97" s="2"/>
      <c r="Q97" s="2"/>
      <c r="R97" s="2"/>
      <c r="S97" s="2"/>
      <c r="T97" s="2"/>
      <c r="U97" s="2"/>
    </row>
    <row r="98" spans="14:21" x14ac:dyDescent="0.25">
      <c r="N98" s="2"/>
      <c r="O98" s="2"/>
      <c r="P98" s="2"/>
      <c r="Q98" s="2"/>
      <c r="R98" s="2"/>
      <c r="S98" s="2"/>
      <c r="T98" s="2"/>
      <c r="U98" s="2"/>
    </row>
    <row r="99" spans="14:21" x14ac:dyDescent="0.25">
      <c r="N99" s="2"/>
      <c r="O99" s="2"/>
      <c r="P99" s="2"/>
      <c r="Q99" s="2"/>
      <c r="R99" s="2"/>
      <c r="S99" s="2"/>
      <c r="T99" s="2"/>
      <c r="U99" s="2"/>
    </row>
    <row r="100" spans="14:21" x14ac:dyDescent="0.25">
      <c r="N100" s="2"/>
      <c r="O100" s="2"/>
      <c r="P100" s="2"/>
      <c r="Q100" s="2"/>
      <c r="R100" s="2"/>
      <c r="S100" s="2"/>
      <c r="T100" s="2"/>
      <c r="U100" s="2"/>
    </row>
    <row r="101" spans="14:21" x14ac:dyDescent="0.25">
      <c r="N101" s="2"/>
      <c r="O101" s="2"/>
      <c r="P101" s="2"/>
      <c r="Q101" s="2"/>
      <c r="R101" s="2"/>
      <c r="S101" s="2"/>
      <c r="T101" s="2"/>
      <c r="U101" s="2"/>
    </row>
    <row r="102" spans="14:21" x14ac:dyDescent="0.25">
      <c r="N102" s="2"/>
      <c r="O102" s="2"/>
      <c r="P102" s="2"/>
      <c r="Q102" s="2"/>
      <c r="R102" s="2"/>
      <c r="S102" s="2"/>
      <c r="T102" s="2"/>
      <c r="U102" s="2"/>
    </row>
    <row r="103" spans="14:21" x14ac:dyDescent="0.25">
      <c r="N103" s="2"/>
      <c r="O103" s="2"/>
      <c r="P103" s="2"/>
      <c r="Q103" s="2"/>
      <c r="R103" s="2"/>
      <c r="S103" s="2"/>
      <c r="T103" s="2"/>
      <c r="U103" s="2"/>
    </row>
    <row r="104" spans="14:21" x14ac:dyDescent="0.25">
      <c r="N104" s="2"/>
      <c r="O104" s="2"/>
      <c r="P104" s="2"/>
      <c r="Q104" s="2"/>
      <c r="R104" s="2"/>
      <c r="S104" s="2"/>
      <c r="T104" s="2"/>
      <c r="U104" s="2"/>
    </row>
    <row r="105" spans="14:21" x14ac:dyDescent="0.25">
      <c r="N105" s="2"/>
      <c r="O105" s="2"/>
      <c r="P105" s="2"/>
      <c r="Q105" s="2"/>
      <c r="R105" s="2"/>
      <c r="S105" s="2"/>
      <c r="T105" s="2"/>
      <c r="U105" s="2"/>
    </row>
    <row r="106" spans="14:21" x14ac:dyDescent="0.25">
      <c r="N106" s="2"/>
      <c r="O106" s="2"/>
      <c r="P106" s="2"/>
      <c r="Q106" s="2"/>
      <c r="R106" s="2"/>
      <c r="S106" s="2"/>
      <c r="T106" s="2"/>
      <c r="U106" s="2"/>
    </row>
    <row r="107" spans="14:21" x14ac:dyDescent="0.25">
      <c r="N107" s="2"/>
      <c r="O107" s="2"/>
      <c r="P107" s="2"/>
      <c r="Q107" s="2"/>
      <c r="R107" s="2"/>
      <c r="S107" s="2"/>
      <c r="T107" s="2"/>
      <c r="U107" s="2"/>
    </row>
    <row r="108" spans="14:21" x14ac:dyDescent="0.25">
      <c r="N108" s="2"/>
      <c r="O108" s="2"/>
      <c r="P108" s="2"/>
      <c r="Q108" s="2"/>
      <c r="R108" s="2"/>
      <c r="S108" s="2"/>
      <c r="T108" s="2"/>
      <c r="U108" s="2"/>
    </row>
    <row r="109" spans="14:21" x14ac:dyDescent="0.25">
      <c r="N109" s="2"/>
      <c r="O109" s="2"/>
      <c r="P109" s="2"/>
      <c r="Q109" s="2"/>
      <c r="R109" s="2"/>
      <c r="S109" s="2"/>
      <c r="T109" s="2"/>
      <c r="U109" s="2"/>
    </row>
    <row r="110" spans="14:21" x14ac:dyDescent="0.25">
      <c r="N110" s="2"/>
      <c r="O110" s="2"/>
      <c r="P110" s="2"/>
      <c r="Q110" s="2"/>
      <c r="R110" s="2"/>
      <c r="S110" s="2"/>
      <c r="T110" s="2"/>
      <c r="U110" s="2"/>
    </row>
    <row r="111" spans="14:21" x14ac:dyDescent="0.25">
      <c r="N111" s="2"/>
      <c r="O111" s="2"/>
      <c r="P111" s="2"/>
      <c r="Q111" s="2"/>
      <c r="R111" s="2"/>
      <c r="S111" s="2"/>
      <c r="T111" s="2"/>
      <c r="U111" s="2"/>
    </row>
    <row r="112" spans="14:21" x14ac:dyDescent="0.25">
      <c r="N112" s="2"/>
      <c r="O112" s="2"/>
      <c r="P112" s="2"/>
      <c r="Q112" s="2"/>
      <c r="R112" s="2"/>
      <c r="S112" s="2"/>
      <c r="T112" s="2"/>
      <c r="U112" s="2"/>
    </row>
    <row r="113" spans="14:21" x14ac:dyDescent="0.25">
      <c r="N113" s="2"/>
      <c r="O113" s="2"/>
      <c r="P113" s="2"/>
      <c r="Q113" s="2"/>
      <c r="R113" s="2"/>
      <c r="S113" s="2"/>
      <c r="T113" s="2"/>
      <c r="U113" s="2"/>
    </row>
    <row r="114" spans="14:21" x14ac:dyDescent="0.25">
      <c r="N114" s="2"/>
      <c r="O114" s="2"/>
      <c r="P114" s="2"/>
      <c r="Q114" s="2"/>
      <c r="R114" s="2"/>
      <c r="S114" s="2"/>
      <c r="T114" s="2"/>
      <c r="U114" s="2"/>
    </row>
    <row r="115" spans="14:21" x14ac:dyDescent="0.25">
      <c r="N115" s="2"/>
      <c r="O115" s="2"/>
      <c r="P115" s="2"/>
      <c r="Q115" s="2"/>
      <c r="R115" s="2"/>
      <c r="S115" s="2"/>
      <c r="T115" s="2"/>
      <c r="U115" s="2"/>
    </row>
  </sheetData>
  <mergeCells count="77">
    <mergeCell ref="P45:Y45"/>
    <mergeCell ref="A28:I28"/>
    <mergeCell ref="J28:L28"/>
    <mergeCell ref="A30:L30"/>
    <mergeCell ref="A31:L31"/>
    <mergeCell ref="P40:Y40"/>
    <mergeCell ref="P41:Y41"/>
    <mergeCell ref="P42:Y42"/>
    <mergeCell ref="P43:Y43"/>
    <mergeCell ref="P44:Y44"/>
    <mergeCell ref="A42:L42"/>
    <mergeCell ref="A43:L46"/>
    <mergeCell ref="A19:K19"/>
    <mergeCell ref="P36:Y36"/>
    <mergeCell ref="P37:Y37"/>
    <mergeCell ref="P38:Y38"/>
    <mergeCell ref="P39:Y39"/>
    <mergeCell ref="A32:L32"/>
    <mergeCell ref="A33:L33"/>
    <mergeCell ref="N35:Y35"/>
    <mergeCell ref="A25:D25"/>
    <mergeCell ref="E25:F25"/>
    <mergeCell ref="H25:I25"/>
    <mergeCell ref="K25:L25"/>
    <mergeCell ref="A26:J26"/>
    <mergeCell ref="K26:L26"/>
    <mergeCell ref="A35:L39"/>
    <mergeCell ref="A23:D23"/>
    <mergeCell ref="E23:F23"/>
    <mergeCell ref="H23:I23"/>
    <mergeCell ref="K23:L23"/>
    <mergeCell ref="A24:D24"/>
    <mergeCell ref="E24:F24"/>
    <mergeCell ref="H24:I24"/>
    <mergeCell ref="K24:L24"/>
    <mergeCell ref="A21:L21"/>
    <mergeCell ref="A22:D22"/>
    <mergeCell ref="E22:F22"/>
    <mergeCell ref="H22:I22"/>
    <mergeCell ref="K22:L22"/>
    <mergeCell ref="A18:B18"/>
    <mergeCell ref="A17:B17"/>
    <mergeCell ref="A16:B16"/>
    <mergeCell ref="A15:B15"/>
    <mergeCell ref="A14:B14"/>
    <mergeCell ref="A11:C11"/>
    <mergeCell ref="D11:F11"/>
    <mergeCell ref="G11:I11"/>
    <mergeCell ref="J11:L11"/>
    <mergeCell ref="A13:L13"/>
    <mergeCell ref="A9:L9"/>
    <mergeCell ref="A10:C10"/>
    <mergeCell ref="D10:F10"/>
    <mergeCell ref="G10:I10"/>
    <mergeCell ref="J10:L10"/>
    <mergeCell ref="C2:H2"/>
    <mergeCell ref="I2:L3"/>
    <mergeCell ref="C3:H3"/>
    <mergeCell ref="A5:L5"/>
    <mergeCell ref="A7:L7"/>
    <mergeCell ref="N7:U7"/>
    <mergeCell ref="N9:P9"/>
    <mergeCell ref="Q9:U9"/>
    <mergeCell ref="N10:P10"/>
    <mergeCell ref="Q10:U10"/>
    <mergeCell ref="N11:P11"/>
    <mergeCell ref="Q11:U11"/>
    <mergeCell ref="N12:P12"/>
    <mergeCell ref="Q12:U12"/>
    <mergeCell ref="N13:P13"/>
    <mergeCell ref="Q13:U13"/>
    <mergeCell ref="N14:P14"/>
    <mergeCell ref="Q14:U14"/>
    <mergeCell ref="N15:P15"/>
    <mergeCell ref="Q15:U15"/>
    <mergeCell ref="N16:P16"/>
    <mergeCell ref="Q16:U16"/>
  </mergeCells>
  <dataValidations count="3">
    <dataValidation type="list" sqref="Q12" xr:uid="{00000000-0002-0000-0900-000000000000}">
      <formula1>"No aplican,Incluidas"</formula1>
    </dataValidation>
    <dataValidation type="list" sqref="Q14" xr:uid="{00000000-0002-0000-0900-000001000000}">
      <formula1>"Pendiente,Revisada"</formula1>
    </dataValidation>
    <dataValidation type="list" sqref="Q15" xr:uid="{00000000-0002-0000-0900-000002000000}">
      <formula1>"Pendiente,Revisado"</formula1>
    </dataValidation>
  </dataValidations>
  <hyperlinks>
    <hyperlink ref="N5" location="'Índice'!N7" tooltip="Abrir guía de uso" display="GUÍA DE USO" xr:uid="{D5E4CF37-B320-4E63-9EC6-F8E45FF96F65}"/>
    <hyperlink ref="N6" location="'8. Físico'!A1" tooltip="Volver al informe" display="VOLVER AL INFORME" xr:uid="{0ECF57D2-2A78-4880-A8A0-59E18DBC8F5D}"/>
  </hyperlinks>
  <printOptions horizontalCentered="1"/>
  <pageMargins left="0.28000000000000003" right="0.28000000000000003" top="0.4" bottom="0.5" header="0.25" footer="0.25"/>
  <pageSetup scale="93" orientation="portrait" r:id="rId1"/>
  <headerFooter>
    <oddFooter>&amp;C&amp;"Arial"&amp;8&amp;K6B7280&amp;P/&amp;F</oddFooter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13F33"/>
    <pageSetUpPr fitToPage="1"/>
  </sheetPr>
  <dimension ref="A1:U115"/>
  <sheetViews>
    <sheetView showGridLines="0" topLeftCell="A15" zoomScaleNormal="100" workbookViewId="0">
      <selection activeCell="O16" sqref="O16"/>
    </sheetView>
  </sheetViews>
  <sheetFormatPr baseColWidth="10" defaultColWidth="9.140625" defaultRowHeight="15" x14ac:dyDescent="0.25"/>
  <cols>
    <col min="1" max="12" width="9" customWidth="1"/>
    <col min="13" max="13" width="3" customWidth="1"/>
    <col min="14" max="21" width="18" customWidth="1"/>
  </cols>
  <sheetData>
    <row r="1" spans="1:2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N1" s="2"/>
      <c r="O1" s="2"/>
      <c r="P1" s="2"/>
      <c r="Q1" s="2"/>
      <c r="R1" s="2"/>
      <c r="S1" s="2"/>
      <c r="T1" s="2"/>
      <c r="U1" s="2"/>
    </row>
    <row r="2" spans="1:21" ht="18" customHeight="1" x14ac:dyDescent="0.25">
      <c r="A2" s="11"/>
      <c r="B2" s="11"/>
      <c r="C2" s="21"/>
      <c r="D2" s="21"/>
      <c r="E2" s="21"/>
      <c r="F2" s="21"/>
      <c r="G2" s="21"/>
      <c r="H2" s="21"/>
      <c r="I2" s="8" t="str">
        <f>"Opinión de valor comercial"&amp;IF('2. Antecedentes'!$Q$9&lt;&gt;"",CHAR(10)&amp;"Folio "&amp;'2. Antecedentes'!$Q$9,"")</f>
        <v>Opinión de valor comercial</v>
      </c>
      <c r="J2" s="22"/>
      <c r="K2" s="22"/>
      <c r="L2" s="22"/>
      <c r="M2" s="23"/>
      <c r="N2" s="24"/>
      <c r="O2" s="24"/>
      <c r="P2" s="24"/>
      <c r="Q2" s="24"/>
      <c r="R2" s="24"/>
      <c r="S2" s="24"/>
      <c r="T2" s="24"/>
      <c r="U2" s="24"/>
    </row>
    <row r="3" spans="1:21" ht="12" customHeight="1" x14ac:dyDescent="0.25">
      <c r="A3" s="11"/>
      <c r="B3" s="11"/>
      <c r="C3" s="25"/>
      <c r="D3" s="25"/>
      <c r="E3" s="25"/>
      <c r="F3" s="25"/>
      <c r="G3" s="25"/>
      <c r="H3" s="25"/>
      <c r="I3" s="22"/>
      <c r="J3" s="22"/>
      <c r="K3" s="22"/>
      <c r="L3" s="22"/>
      <c r="M3" s="23"/>
      <c r="N3" s="24"/>
      <c r="O3" s="24"/>
      <c r="P3" s="24"/>
      <c r="Q3" s="24"/>
      <c r="R3" s="24"/>
      <c r="S3" s="24"/>
      <c r="T3" s="24"/>
      <c r="U3" s="24"/>
    </row>
    <row r="4" spans="1:21" ht="8.1" customHeight="1" thickBot="1" x14ac:dyDescent="0.3">
      <c r="A4" s="350"/>
      <c r="B4" s="350"/>
      <c r="C4" s="350"/>
      <c r="D4" s="26"/>
      <c r="E4" s="26"/>
      <c r="F4" s="26"/>
      <c r="G4" s="26"/>
      <c r="H4" s="26"/>
      <c r="I4" s="26"/>
      <c r="J4" s="26"/>
      <c r="K4" s="26"/>
      <c r="L4" s="26"/>
      <c r="M4" s="23"/>
      <c r="N4" s="24"/>
      <c r="O4" s="24"/>
      <c r="P4" s="24"/>
      <c r="Q4" s="24"/>
      <c r="R4" s="24"/>
      <c r="S4" s="24"/>
      <c r="T4" s="24"/>
      <c r="U4" s="24"/>
    </row>
    <row r="5" spans="1:21" ht="3" customHeight="1" x14ac:dyDescent="0.2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3"/>
      <c r="N5" s="68"/>
      <c r="O5" s="24"/>
      <c r="P5" s="24"/>
      <c r="Q5" s="24"/>
      <c r="R5" s="24"/>
      <c r="S5" s="24"/>
      <c r="T5" s="24"/>
      <c r="U5" s="24"/>
    </row>
    <row r="6" spans="1:21" ht="6.95" customHeight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23"/>
      <c r="N6" s="68"/>
      <c r="O6" s="24"/>
      <c r="P6" s="24"/>
      <c r="Q6" s="24"/>
      <c r="R6" s="24"/>
      <c r="S6" s="24"/>
      <c r="T6" s="24"/>
      <c r="U6" s="24"/>
    </row>
    <row r="7" spans="1:21" ht="21.95" customHeight="1" x14ac:dyDescent="0.25">
      <c r="A7" s="28" t="s">
        <v>186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3"/>
      <c r="N7" s="29" t="s">
        <v>348</v>
      </c>
      <c r="O7" s="29"/>
      <c r="P7" s="29"/>
      <c r="Q7" s="29"/>
      <c r="R7" s="29"/>
      <c r="S7" s="29"/>
      <c r="T7" s="29"/>
      <c r="U7" s="29"/>
    </row>
    <row r="8" spans="1:21" ht="6.95" customHeight="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23"/>
      <c r="N8" s="24"/>
      <c r="O8" s="24"/>
      <c r="P8" s="24"/>
      <c r="Q8" s="24"/>
      <c r="R8" s="24"/>
      <c r="S8" s="24"/>
      <c r="T8" s="24"/>
      <c r="U8" s="24"/>
    </row>
    <row r="9" spans="1:21" ht="18" customHeight="1" x14ac:dyDescent="0.25">
      <c r="A9" s="295" t="s">
        <v>187</v>
      </c>
      <c r="B9" s="41"/>
      <c r="C9" s="49"/>
      <c r="D9" s="49"/>
      <c r="E9" s="49"/>
      <c r="F9" s="49"/>
      <c r="G9" s="49"/>
      <c r="H9" s="49"/>
      <c r="I9" s="49"/>
      <c r="J9" s="49"/>
      <c r="K9" s="49"/>
      <c r="L9" s="49"/>
      <c r="M9" s="23"/>
      <c r="N9" s="35" t="s">
        <v>301</v>
      </c>
      <c r="O9" s="35"/>
      <c r="P9" s="35"/>
      <c r="Q9" s="137"/>
      <c r="R9" s="137"/>
      <c r="S9" s="137"/>
      <c r="T9" s="137"/>
      <c r="U9" s="137"/>
    </row>
    <row r="10" spans="1:21" ht="18" customHeight="1" x14ac:dyDescent="0.25">
      <c r="A10" s="342" t="s">
        <v>188</v>
      </c>
      <c r="B10" s="250"/>
      <c r="C10" s="250"/>
      <c r="D10" s="249" t="s">
        <v>37</v>
      </c>
      <c r="E10" s="250"/>
      <c r="F10" s="249" t="s">
        <v>38</v>
      </c>
      <c r="G10" s="250"/>
      <c r="H10" s="250"/>
      <c r="I10" s="249" t="s">
        <v>189</v>
      </c>
      <c r="J10" s="250"/>
      <c r="K10" s="250"/>
      <c r="L10" s="250"/>
      <c r="M10" s="23"/>
      <c r="N10" s="35" t="s">
        <v>302</v>
      </c>
      <c r="O10" s="35"/>
      <c r="P10" s="35"/>
      <c r="Q10" s="71" t="s">
        <v>228</v>
      </c>
      <c r="R10" s="71"/>
      <c r="S10" s="71"/>
      <c r="T10" s="71"/>
      <c r="U10" s="71"/>
    </row>
    <row r="11" spans="1:21" ht="18.95" customHeight="1" x14ac:dyDescent="0.25">
      <c r="A11" s="251" t="s">
        <v>39</v>
      </c>
      <c r="B11" s="251"/>
      <c r="C11" s="251"/>
      <c r="D11" s="252"/>
      <c r="E11" s="252"/>
      <c r="F11" s="253" t="str">
        <f>IF('2. Antecedentes'!Q13="Terreno",IF(ISNUMBER('5. Comp. Terreno'!J21),'5. Comp. Terreno'!J21,""),IF(ISNUMBER('6. Comp. Constr.'!J21),'6. Comp. Constr.'!J21,""))</f>
        <v/>
      </c>
      <c r="G11" s="253"/>
      <c r="H11" s="253"/>
      <c r="I11" s="254" t="str">
        <f>IF(AND(ISNUMBER(D11),D11&gt;=0,D11&lt;=1),IF(D11=0,0,IF(AND(ISNUMBER(F11),F11&gt;0),D11*F11,"")),"")</f>
        <v/>
      </c>
      <c r="J11" s="254"/>
      <c r="K11" s="254"/>
      <c r="L11" s="254"/>
      <c r="M11" s="23"/>
      <c r="N11" s="35" t="s">
        <v>303</v>
      </c>
      <c r="O11" s="35"/>
      <c r="P11" s="35"/>
      <c r="Q11" s="76"/>
      <c r="R11" s="76"/>
      <c r="S11" s="76"/>
      <c r="T11" s="76"/>
      <c r="U11" s="76"/>
    </row>
    <row r="12" spans="1:21" ht="18.95" customHeight="1" x14ac:dyDescent="0.25">
      <c r="A12" s="255" t="s">
        <v>40</v>
      </c>
      <c r="B12" s="256"/>
      <c r="C12" s="256"/>
      <c r="D12" s="252"/>
      <c r="E12" s="252"/>
      <c r="F12" s="257" t="str">
        <f>IF('7. Ingresos'!H34="","",'7. Ingresos'!H34)</f>
        <v/>
      </c>
      <c r="G12" s="258"/>
      <c r="H12" s="258"/>
      <c r="I12" s="259" t="str">
        <f>IF(AND(ISNUMBER(D12),D12&gt;=0,D12&lt;=1),IF(D12=0,0,IF(AND(ISNUMBER(F12),F12&gt;0),D12*F12,"")),"")</f>
        <v/>
      </c>
      <c r="J12" s="260"/>
      <c r="K12" s="260"/>
      <c r="L12" s="260"/>
      <c r="M12" s="23"/>
      <c r="N12" s="35" t="s">
        <v>304</v>
      </c>
      <c r="O12" s="35"/>
      <c r="P12" s="35"/>
      <c r="Q12" s="137"/>
      <c r="R12" s="137"/>
      <c r="S12" s="137"/>
      <c r="T12" s="137"/>
      <c r="U12" s="137"/>
    </row>
    <row r="13" spans="1:21" ht="18.95" customHeight="1" x14ac:dyDescent="0.25">
      <c r="A13" s="343" t="s">
        <v>41</v>
      </c>
      <c r="B13" s="251"/>
      <c r="C13" s="251"/>
      <c r="D13" s="345"/>
      <c r="E13" s="252"/>
      <c r="F13" s="253" t="str">
        <f>IF('8. Físico'!J28="","",'8. Físico'!J28)</f>
        <v/>
      </c>
      <c r="G13" s="253"/>
      <c r="H13" s="253"/>
      <c r="I13" s="346" t="str">
        <f>IF(AND(ISNUMBER(D13),D13&gt;=0,D13&lt;=1),IF(D13=0,0,IF(AND(ISNUMBER(F13),F13&gt;0),D13*F13,"")),"")</f>
        <v/>
      </c>
      <c r="J13" s="254"/>
      <c r="K13" s="254"/>
      <c r="L13" s="254"/>
      <c r="M13" s="23"/>
      <c r="N13" s="35" t="s">
        <v>305</v>
      </c>
      <c r="O13" s="35"/>
      <c r="P13" s="35"/>
      <c r="Q13" s="77"/>
      <c r="R13" s="77"/>
      <c r="S13" s="77"/>
      <c r="T13" s="77"/>
      <c r="U13" s="77"/>
    </row>
    <row r="14" spans="1:21" ht="18" customHeight="1" x14ac:dyDescent="0.25">
      <c r="A14" s="295" t="s">
        <v>190</v>
      </c>
      <c r="B14" s="40"/>
      <c r="C14" s="261"/>
      <c r="D14" s="344" t="str">
        <f>IF(COUNT(D11:D13)=3,SUM(D11:D13),"")</f>
        <v/>
      </c>
      <c r="E14" s="262"/>
      <c r="F14" s="263"/>
      <c r="G14" s="264"/>
      <c r="H14" s="264"/>
      <c r="I14" s="333" t="str">
        <f>IF(AND(COUNT(D11:D13)=3,ABS(SUM(D11:D13)-1)&lt;0.000001,MIN(D11:D13)&gt;=0,MAX(D11:D13)&lt;=1,COUNT(I11:I13)=3),SUM(I11:I13),"")</f>
        <v/>
      </c>
      <c r="J14" s="265"/>
      <c r="K14" s="265"/>
      <c r="L14" s="265"/>
      <c r="M14" s="23"/>
      <c r="N14" s="24"/>
      <c r="O14" s="24"/>
      <c r="P14" s="24"/>
      <c r="Q14" s="24"/>
      <c r="R14" s="24"/>
      <c r="S14" s="24"/>
      <c r="T14" s="24"/>
      <c r="U14" s="24"/>
    </row>
    <row r="15" spans="1:21" ht="6.95" customHeight="1" x14ac:dyDescent="0.25">
      <c r="A15" s="118"/>
      <c r="B15" s="118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23"/>
      <c r="N15" s="35" t="s">
        <v>306</v>
      </c>
      <c r="O15" s="35"/>
      <c r="P15" s="35"/>
      <c r="Q15" s="71" t="str">
        <f>IF('2. Antecedentes'!Q28&lt;&gt;"Bases completas",'2. Antecedentes'!Q28,IF(NOT(ISNUMBER(I14)),"Revisar pesos y enfoques",IF(OR(NOT(ISNUMBER(Q9)),Q9&lt;=0),"Definir redondeo",IF(A19="","Redactar justificación",IF(OR(Q10&lt;&gt;"Revisada",NOT(ISNUMBER(Q11)),Q11&lt;'2. Antecedentes'!Q10,Q11&gt;'2. Antecedentes'!E25),"Completar revisión",IF(OR(NOT(ISNUMBER(Q12)),ABS(Q12-I14)&gt;0.01,Q13&lt;&gt;'2. Antecedentes'!Q14),"Actualizar revisión","Revisada"))))))</f>
        <v>Completar identidad y alcance</v>
      </c>
      <c r="R15" s="71"/>
      <c r="S15" s="71"/>
      <c r="T15" s="71"/>
      <c r="U15" s="71"/>
    </row>
    <row r="16" spans="1:21" ht="30" customHeight="1" thickBot="1" x14ac:dyDescent="0.3">
      <c r="A16" s="266" t="s">
        <v>349</v>
      </c>
      <c r="B16" s="267"/>
      <c r="C16" s="267"/>
      <c r="D16" s="267"/>
      <c r="E16" s="267"/>
      <c r="F16" s="267"/>
      <c r="G16" s="267"/>
      <c r="H16" s="267"/>
      <c r="I16" s="268" t="str">
        <f>IF(ISNUMBER(I14),ROUND(I14/IF(AND(ISNUMBER(Q9),Q9&gt;0),Q9,1),0)*IF(AND(ISNUMBER(Q9),Q9&gt;0),Q9,1),"")</f>
        <v/>
      </c>
      <c r="J16" s="269"/>
      <c r="K16" s="269"/>
      <c r="L16" s="269"/>
      <c r="M16" s="23"/>
      <c r="N16" s="24"/>
      <c r="O16" s="24"/>
      <c r="P16" s="24"/>
      <c r="Q16" s="24"/>
      <c r="R16" s="24"/>
      <c r="S16" s="24"/>
      <c r="T16" s="24"/>
      <c r="U16" s="24"/>
    </row>
    <row r="17" spans="1:21" ht="18" customHeight="1" x14ac:dyDescent="0.25">
      <c r="A17" s="354" t="str">
        <f>IF(Q26="","","("&amp;Q26&amp;")")</f>
        <v/>
      </c>
      <c r="B17" s="354"/>
      <c r="C17" s="354"/>
      <c r="D17" s="354"/>
      <c r="E17" s="354"/>
      <c r="F17" s="354"/>
      <c r="G17" s="354"/>
      <c r="H17" s="354"/>
      <c r="I17" s="354"/>
      <c r="J17" s="354"/>
      <c r="K17" s="354"/>
      <c r="L17" s="354"/>
      <c r="M17" s="23"/>
      <c r="N17" s="24"/>
      <c r="O17" s="24"/>
      <c r="P17" s="24"/>
      <c r="Q17" s="24"/>
      <c r="R17" s="24"/>
      <c r="S17" s="24"/>
      <c r="T17" s="24"/>
      <c r="U17" s="24"/>
    </row>
    <row r="18" spans="1:21" ht="18" customHeight="1" x14ac:dyDescent="0.25">
      <c r="A18" s="295" t="s">
        <v>191</v>
      </c>
      <c r="B18" s="41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23"/>
      <c r="N18" s="352" t="s">
        <v>358</v>
      </c>
      <c r="O18" s="353"/>
      <c r="P18" s="353"/>
      <c r="Q18" s="353"/>
      <c r="R18" s="24"/>
      <c r="S18" s="24"/>
      <c r="T18" s="24"/>
    </row>
    <row r="19" spans="1:21" ht="15" customHeight="1" x14ac:dyDescent="0.25">
      <c r="A19" s="272"/>
      <c r="B19" s="270"/>
      <c r="C19" s="270"/>
      <c r="D19" s="270"/>
      <c r="E19" s="270"/>
      <c r="F19" s="270"/>
      <c r="G19" s="270"/>
      <c r="H19" s="270"/>
      <c r="I19" s="270"/>
      <c r="J19" s="270"/>
      <c r="K19" s="270"/>
      <c r="L19" s="271"/>
      <c r="M19" s="23"/>
      <c r="N19" s="353" t="s">
        <v>359</v>
      </c>
      <c r="O19" s="353"/>
      <c r="P19" s="353"/>
      <c r="Q19" s="353">
        <f>IF(ISNUMBER(I16),INT(I16),0)</f>
        <v>0</v>
      </c>
      <c r="R19" s="24"/>
      <c r="S19" s="24"/>
      <c r="T19" s="24"/>
    </row>
    <row r="20" spans="1:21" ht="15" customHeight="1" x14ac:dyDescent="0.25">
      <c r="A20" s="272"/>
      <c r="B20" s="273"/>
      <c r="C20" s="273"/>
      <c r="D20" s="273"/>
      <c r="E20" s="273"/>
      <c r="F20" s="273"/>
      <c r="G20" s="273"/>
      <c r="H20" s="273"/>
      <c r="I20" s="273"/>
      <c r="J20" s="273"/>
      <c r="K20" s="273"/>
      <c r="L20" s="274"/>
      <c r="M20" s="23"/>
      <c r="N20" s="353" t="s">
        <v>360</v>
      </c>
      <c r="O20" s="353"/>
      <c r="P20" s="353"/>
      <c r="Q20" s="353">
        <f>INT(Q19/1000000)</f>
        <v>0</v>
      </c>
      <c r="R20" s="24"/>
      <c r="S20" s="24"/>
      <c r="T20" s="24"/>
    </row>
    <row r="21" spans="1:21" ht="15" customHeight="1" x14ac:dyDescent="0.25">
      <c r="A21" s="272"/>
      <c r="B21" s="273"/>
      <c r="C21" s="273"/>
      <c r="D21" s="273"/>
      <c r="E21" s="273"/>
      <c r="F21" s="273"/>
      <c r="G21" s="273"/>
      <c r="H21" s="273"/>
      <c r="I21" s="273"/>
      <c r="J21" s="273"/>
      <c r="K21" s="273"/>
      <c r="L21" s="274"/>
      <c r="M21" s="23"/>
      <c r="N21" s="353" t="s">
        <v>361</v>
      </c>
      <c r="O21" s="353"/>
      <c r="P21" s="353"/>
      <c r="Q21" s="353">
        <f>INT(MOD(Q19,1000000)/1000)</f>
        <v>0</v>
      </c>
      <c r="R21" s="24"/>
      <c r="S21" s="24"/>
      <c r="T21" s="24"/>
    </row>
    <row r="22" spans="1:21" ht="15" customHeight="1" x14ac:dyDescent="0.25">
      <c r="A22" s="272"/>
      <c r="B22" s="273"/>
      <c r="C22" s="273"/>
      <c r="D22" s="273"/>
      <c r="E22" s="273"/>
      <c r="F22" s="273"/>
      <c r="G22" s="273"/>
      <c r="H22" s="273"/>
      <c r="I22" s="273"/>
      <c r="J22" s="273"/>
      <c r="K22" s="273"/>
      <c r="L22" s="274"/>
      <c r="M22" s="23"/>
      <c r="N22" s="353" t="s">
        <v>362</v>
      </c>
      <c r="O22" s="353"/>
      <c r="P22" s="353"/>
      <c r="Q22" s="353">
        <f>MOD(Q19,1000)</f>
        <v>0</v>
      </c>
      <c r="R22" s="24"/>
      <c r="S22" s="24"/>
      <c r="T22" s="24"/>
    </row>
    <row r="23" spans="1:21" ht="15" customHeight="1" x14ac:dyDescent="0.25">
      <c r="A23" s="272"/>
      <c r="B23" s="273"/>
      <c r="C23" s="273"/>
      <c r="D23" s="273"/>
      <c r="E23" s="273"/>
      <c r="F23" s="273"/>
      <c r="G23" s="273"/>
      <c r="H23" s="273"/>
      <c r="I23" s="273"/>
      <c r="J23" s="273"/>
      <c r="K23" s="273"/>
      <c r="L23" s="274"/>
      <c r="M23" s="23"/>
      <c r="N23" s="353" t="s">
        <v>363</v>
      </c>
      <c r="O23" s="353"/>
      <c r="P23" s="353"/>
      <c r="Q23" s="353" t="str">
        <f>IF(Q20=0,"",IF(Q20=100,"cien",CHOOSE(INT(Q20/100)+1,"","ciento ","doscientos ","trescientos ","cuatrocientos ","quinientos ","seiscientos ","setecientos ","ochocientos ","novecientos ")&amp;IF(MOD(Q20,100)&lt;30,CHOOSE(MOD(Q20,100)+1,"","uno","dos","tres","cuatro","cinco","seis","siete","ocho","nueve","diez","once","doce","trece","catorce","quince","dieciséis","diecisiete","dieciocho","diecinueve","veinte","veintiuno","veintidós","veintitrés","veinticuatro","veinticinco","veintiséis","veintisiete","veintiocho","veintinueve"),CHOOSE(INT(MOD(Q20,100)/10)-2,"treinta","cuarenta","cincuenta","sesenta","setenta","ochenta","noventa")&amp;IF(MOD(Q20,10)&gt;0," y "&amp;CHOOSE(MOD(Q20,10),"uno","dos","tres","cuatro","cinco","seis","siete","ocho","nueve"),""))))</f>
        <v/>
      </c>
      <c r="R23" s="24"/>
      <c r="S23" s="24"/>
      <c r="T23" s="24"/>
    </row>
    <row r="24" spans="1:21" ht="15" customHeight="1" x14ac:dyDescent="0.25">
      <c r="A24" s="275"/>
      <c r="B24" s="276"/>
      <c r="C24" s="276"/>
      <c r="D24" s="276"/>
      <c r="E24" s="276"/>
      <c r="F24" s="276"/>
      <c r="G24" s="276"/>
      <c r="H24" s="276"/>
      <c r="I24" s="276"/>
      <c r="J24" s="276"/>
      <c r="K24" s="276"/>
      <c r="L24" s="277"/>
      <c r="M24" s="23"/>
      <c r="N24" s="353" t="s">
        <v>364</v>
      </c>
      <c r="O24" s="353"/>
      <c r="P24" s="353"/>
      <c r="Q24" s="353" t="str">
        <f>IF(Q21=0,"",IF(Q21=100,"cien",CHOOSE(INT(Q21/100)+1,"","ciento ","doscientos ","trescientos ","cuatrocientos ","quinientos ","seiscientos ","setecientos ","ochocientos ","novecientos ")&amp;IF(MOD(Q21,100)&lt;30,CHOOSE(MOD(Q21,100)+1,"","uno","dos","tres","cuatro","cinco","seis","siete","ocho","nueve","diez","once","doce","trece","catorce","quince","dieciséis","diecisiete","dieciocho","diecinueve","veinte","veintiuno","veintidós","veintitrés","veinticuatro","veinticinco","veintiséis","veintisiete","veintiocho","veintinueve"),CHOOSE(INT(MOD(Q21,100)/10)-2,"treinta","cuarenta","cincuenta","sesenta","setenta","ochenta","noventa")&amp;IF(MOD(Q21,10)&gt;0," y "&amp;CHOOSE(MOD(Q21,10),"uno","dos","tres","cuatro","cinco","seis","siete","ocho","nueve"),""))))</f>
        <v/>
      </c>
      <c r="R24" s="24"/>
      <c r="S24" s="24"/>
      <c r="T24" s="24"/>
    </row>
    <row r="25" spans="1:21" ht="6.95" customHeight="1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23"/>
      <c r="N25" s="353" t="s">
        <v>365</v>
      </c>
      <c r="O25" s="353"/>
      <c r="P25" s="353"/>
      <c r="Q25" s="353" t="str">
        <f>IF(Q22=0,"",IF(Q22=100,"cien",CHOOSE(INT(Q22/100)+1,"","ciento ","doscientos ","trescientos ","cuatrocientos ","quinientos ","seiscientos ","setecientos ","ochocientos ","novecientos ")&amp;IF(MOD(Q22,100)&lt;30,CHOOSE(MOD(Q22,100)+1,"","uno","dos","tres","cuatro","cinco","seis","siete","ocho","nueve","diez","once","doce","trece","catorce","quince","dieciséis","diecisiete","dieciocho","diecinueve","veinte","veintiuno","veintidós","veintitrés","veinticuatro","veinticinco","veintiséis","veintisiete","veintiocho","veintinueve"),CHOOSE(INT(MOD(Q22,100)/10)-2,"treinta","cuarenta","cincuenta","sesenta","setenta","ochenta","noventa")&amp;IF(MOD(Q22,10)&gt;0," y "&amp;CHOOSE(MOD(Q22,10),"uno","dos","tres","cuatro","cinco","seis","siete","ocho","nueve"),""))))</f>
        <v/>
      </c>
      <c r="R25" s="24"/>
      <c r="S25" s="24"/>
      <c r="T25" s="24"/>
    </row>
    <row r="26" spans="1:21" ht="18" customHeight="1" x14ac:dyDescent="0.25">
      <c r="A26" s="295" t="s">
        <v>192</v>
      </c>
      <c r="B26" s="41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23"/>
      <c r="N26" s="353" t="s">
        <v>366</v>
      </c>
      <c r="O26" s="353"/>
      <c r="P26" s="353"/>
      <c r="Q26" s="353" t="str">
        <f>IF(NOT(ISNUMBER(I16)),"",UPPER(TRIM(IF(Q20=1,"un millón ",IF(Q20&gt;1,SUBSTITUTE(SUBSTITUTE(Q23,"veintiuno","veintiún"),"uno","un")&amp;" millones ",""))&amp;IF(Q21=1,"mil ",IF(Q21&gt;1,SUBSTITUTE(SUBSTITUTE(Q24,"veintiuno","veintiún"),"uno","un")&amp;" mil ",""))&amp;IF(AND(Q22=0,Q21=0,Q20&gt;0),"de ","")&amp;SUBSTITUTE(SUBSTITUTE(Q25,"veintiuno","veintiún"),"uno","un")))&amp;" PESOS "&amp;TEXT(ROUND((I16-Q19)*100,0),"00")&amp;"/100 M.N.")</f>
        <v/>
      </c>
      <c r="R26" s="24"/>
      <c r="S26" s="24"/>
      <c r="T26" s="24"/>
    </row>
    <row r="27" spans="1:21" ht="30" customHeight="1" x14ac:dyDescent="0.25">
      <c r="A27" s="347" t="s">
        <v>307</v>
      </c>
      <c r="B27" s="278"/>
      <c r="C27" s="278"/>
      <c r="D27" s="278"/>
      <c r="E27" s="278"/>
      <c r="F27" s="278"/>
      <c r="G27" s="278"/>
      <c r="H27" s="278"/>
      <c r="I27" s="278"/>
      <c r="J27" s="278"/>
      <c r="K27" s="278"/>
      <c r="L27" s="279"/>
      <c r="M27" s="23"/>
      <c r="N27" s="24"/>
      <c r="O27" s="24"/>
      <c r="P27" s="24"/>
      <c r="Q27" s="24"/>
      <c r="R27" s="24"/>
      <c r="S27" s="24"/>
      <c r="T27" s="24"/>
      <c r="U27" s="24"/>
    </row>
    <row r="28" spans="1:21" ht="30" customHeight="1" x14ac:dyDescent="0.25">
      <c r="A28" s="280"/>
      <c r="B28" s="281"/>
      <c r="C28" s="281"/>
      <c r="D28" s="281"/>
      <c r="E28" s="281"/>
      <c r="F28" s="281"/>
      <c r="G28" s="281"/>
      <c r="H28" s="281"/>
      <c r="I28" s="281"/>
      <c r="J28" s="281"/>
      <c r="K28" s="281"/>
      <c r="L28" s="282"/>
      <c r="M28" s="23"/>
      <c r="N28" s="24"/>
      <c r="O28" s="24"/>
      <c r="P28" s="24"/>
      <c r="Q28" s="24"/>
      <c r="R28" s="24"/>
      <c r="S28" s="24"/>
      <c r="T28" s="24"/>
      <c r="U28" s="24"/>
    </row>
    <row r="29" spans="1:21" ht="30" customHeight="1" x14ac:dyDescent="0.25">
      <c r="A29" s="280"/>
      <c r="B29" s="281"/>
      <c r="C29" s="281"/>
      <c r="D29" s="281"/>
      <c r="E29" s="281"/>
      <c r="F29" s="281"/>
      <c r="G29" s="281"/>
      <c r="H29" s="281"/>
      <c r="I29" s="281"/>
      <c r="J29" s="281"/>
      <c r="K29" s="281"/>
      <c r="L29" s="282"/>
      <c r="M29" s="23"/>
      <c r="N29" s="24"/>
      <c r="O29" s="24"/>
      <c r="P29" s="24"/>
      <c r="Q29" s="24"/>
      <c r="R29" s="24"/>
      <c r="S29" s="24"/>
      <c r="T29" s="24"/>
      <c r="U29" s="24"/>
    </row>
    <row r="30" spans="1:21" ht="30" customHeight="1" x14ac:dyDescent="0.25">
      <c r="A30" s="280"/>
      <c r="B30" s="281"/>
      <c r="C30" s="281"/>
      <c r="D30" s="281"/>
      <c r="E30" s="281"/>
      <c r="F30" s="281"/>
      <c r="G30" s="281"/>
      <c r="H30" s="281"/>
      <c r="I30" s="281"/>
      <c r="J30" s="281"/>
      <c r="K30" s="281"/>
      <c r="L30" s="282"/>
      <c r="M30" s="23"/>
      <c r="N30" s="24"/>
      <c r="O30" s="24"/>
      <c r="P30" s="24"/>
      <c r="Q30" s="24"/>
      <c r="R30" s="24"/>
      <c r="S30" s="24"/>
      <c r="T30" s="24"/>
      <c r="U30" s="24" t="str">
        <f>SUBSTITUTE(SUBSTITUTE("x","x",""),"","")</f>
        <v/>
      </c>
    </row>
    <row r="31" spans="1:21" ht="30" customHeight="1" x14ac:dyDescent="0.25">
      <c r="A31" s="283"/>
      <c r="B31" s="284"/>
      <c r="C31" s="284"/>
      <c r="D31" s="284"/>
      <c r="E31" s="284"/>
      <c r="F31" s="284"/>
      <c r="G31" s="284"/>
      <c r="H31" s="284"/>
      <c r="I31" s="284"/>
      <c r="J31" s="284"/>
      <c r="K31" s="284"/>
      <c r="L31" s="285"/>
      <c r="M31" s="23"/>
      <c r="N31" s="24"/>
      <c r="O31" s="24"/>
      <c r="P31" s="24"/>
      <c r="Q31" s="24"/>
      <c r="R31" s="24"/>
      <c r="S31" s="24"/>
      <c r="T31" s="24"/>
      <c r="U31" s="24"/>
    </row>
    <row r="32" spans="1:21" ht="6.95" customHeight="1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23"/>
      <c r="N32" s="24"/>
      <c r="O32" s="24"/>
      <c r="P32" s="24"/>
      <c r="Q32" s="24"/>
      <c r="R32" s="24"/>
      <c r="S32" s="24"/>
      <c r="T32" s="24"/>
      <c r="U32" s="24"/>
    </row>
    <row r="33" spans="1:21" ht="18" customHeight="1" x14ac:dyDescent="0.25">
      <c r="A33" s="295" t="s">
        <v>193</v>
      </c>
      <c r="B33" s="41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23"/>
      <c r="N33" s="24"/>
      <c r="O33" s="24"/>
      <c r="P33" s="24"/>
      <c r="Q33" s="24"/>
      <c r="R33" s="24"/>
      <c r="S33" s="24"/>
      <c r="T33" s="24"/>
      <c r="U33" s="24"/>
    </row>
    <row r="34" spans="1:21" ht="24" customHeight="1" x14ac:dyDescent="0.25">
      <c r="A34" s="296" t="s">
        <v>65</v>
      </c>
      <c r="B34" s="14"/>
      <c r="C34" s="14"/>
      <c r="D34" s="15" t="str">
        <f>IF('2. Antecedentes'!E33="","",'2. Antecedentes'!E33)</f>
        <v/>
      </c>
      <c r="E34" s="16"/>
      <c r="F34" s="16"/>
      <c r="G34" s="14" t="s">
        <v>64</v>
      </c>
      <c r="H34" s="14"/>
      <c r="I34" s="15" t="str">
        <f>IF('2. Antecedentes'!E32="","",'2. Antecedentes'!E32)</f>
        <v>Fortius Real Estate &amp; Investments</v>
      </c>
      <c r="J34" s="16"/>
      <c r="K34" s="16"/>
      <c r="L34" s="16"/>
      <c r="M34" s="23"/>
      <c r="N34" s="24"/>
      <c r="O34" s="24"/>
      <c r="P34" s="24"/>
      <c r="Q34" s="24"/>
      <c r="R34" s="24"/>
      <c r="S34" s="24"/>
      <c r="T34" s="24"/>
      <c r="U34" s="24"/>
    </row>
    <row r="35" spans="1:21" ht="24" customHeight="1" x14ac:dyDescent="0.25">
      <c r="A35" s="14" t="s">
        <v>57</v>
      </c>
      <c r="B35" s="14"/>
      <c r="C35" s="14"/>
      <c r="D35" s="17" t="str">
        <f>IF('2. Antecedentes'!E25="","",'2. Antecedentes'!E25)</f>
        <v/>
      </c>
      <c r="E35" s="18"/>
      <c r="F35" s="18"/>
      <c r="G35" s="14" t="s">
        <v>371</v>
      </c>
      <c r="H35" s="14"/>
      <c r="I35" s="17" t="str">
        <f>IF('2. Antecedentes'!E26="","",'2. Antecedentes'!E26)</f>
        <v/>
      </c>
      <c r="J35" s="18"/>
      <c r="K35" s="18"/>
      <c r="L35" s="18"/>
      <c r="M35" s="23"/>
      <c r="N35" s="24"/>
      <c r="O35" s="24"/>
      <c r="P35" s="24"/>
      <c r="Q35" s="24"/>
      <c r="R35" s="24"/>
      <c r="S35" s="24"/>
      <c r="T35" s="24"/>
      <c r="U35" s="24"/>
    </row>
    <row r="36" spans="1:21" ht="6.95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23"/>
      <c r="N36" s="24"/>
      <c r="O36" s="24"/>
      <c r="P36" s="24"/>
      <c r="Q36" s="24"/>
      <c r="R36" s="24"/>
      <c r="S36" s="24"/>
      <c r="T36" s="24"/>
      <c r="U36" s="24"/>
    </row>
    <row r="37" spans="1:21" ht="15" customHeight="1" x14ac:dyDescent="0.25">
      <c r="A37" s="11"/>
      <c r="B37" s="11"/>
      <c r="C37" s="11"/>
      <c r="D37" s="356" t="str">
        <f>IF('2. Antecedentes'!E33="","",'2. Antecedentes'!E33)</f>
        <v/>
      </c>
      <c r="E37" s="286"/>
      <c r="F37" s="286"/>
      <c r="G37" s="286"/>
      <c r="H37" s="286"/>
      <c r="I37" s="286"/>
      <c r="J37" s="11"/>
      <c r="K37" s="11"/>
      <c r="L37" s="11"/>
      <c r="M37" s="23"/>
      <c r="N37" s="24"/>
      <c r="O37" s="24"/>
      <c r="P37" s="24"/>
      <c r="Q37" s="24"/>
      <c r="R37" s="24"/>
      <c r="S37" s="24"/>
      <c r="T37" s="24"/>
      <c r="U37" s="24"/>
    </row>
    <row r="38" spans="1:21" x14ac:dyDescent="0.25">
      <c r="A38" s="11"/>
      <c r="B38" s="11"/>
      <c r="C38" s="11"/>
      <c r="D38" s="19" t="s">
        <v>65</v>
      </c>
      <c r="E38" s="19"/>
      <c r="F38" s="19"/>
      <c r="G38" s="19"/>
      <c r="H38" s="19"/>
      <c r="I38" s="19"/>
      <c r="J38" s="11"/>
      <c r="K38" s="11"/>
      <c r="L38" s="11"/>
      <c r="M38" s="23"/>
      <c r="N38" s="24"/>
      <c r="O38" s="24"/>
      <c r="P38" s="24"/>
      <c r="Q38" s="24"/>
      <c r="R38" s="24"/>
      <c r="S38" s="24"/>
      <c r="T38" s="24"/>
      <c r="U38" s="24"/>
    </row>
    <row r="39" spans="1:21" x14ac:dyDescent="0.25">
      <c r="A39" s="11"/>
      <c r="B39" s="11"/>
      <c r="C39" s="11"/>
      <c r="D39" s="362" t="str">
        <f>IF('2. Antecedentes'!E32="","",'2. Antecedentes'!E32)</f>
        <v>Fortius Real Estate &amp; Investments</v>
      </c>
      <c r="E39" s="362"/>
      <c r="F39" s="362"/>
      <c r="G39" s="362"/>
      <c r="H39" s="362"/>
      <c r="I39" s="362"/>
      <c r="J39" s="11"/>
      <c r="K39" s="11"/>
      <c r="L39" s="11"/>
      <c r="M39" s="23"/>
      <c r="N39" s="24"/>
      <c r="O39" s="24"/>
      <c r="P39" s="24"/>
      <c r="Q39" s="24"/>
      <c r="R39" s="24"/>
      <c r="S39" s="24"/>
      <c r="T39" s="24"/>
      <c r="U39" s="24"/>
    </row>
    <row r="40" spans="1:21" ht="6.9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23"/>
      <c r="N40" s="24"/>
      <c r="O40" s="24"/>
      <c r="P40" s="24"/>
      <c r="Q40" s="24"/>
      <c r="R40" s="24"/>
      <c r="S40" s="24"/>
      <c r="T40" s="24"/>
      <c r="U40" s="24"/>
    </row>
    <row r="41" spans="1:21" ht="21.95" customHeight="1" x14ac:dyDescent="0.25">
      <c r="A41" s="292" t="s">
        <v>350</v>
      </c>
      <c r="B41" s="292"/>
      <c r="C41" s="292"/>
      <c r="D41" s="292"/>
      <c r="E41" s="292"/>
      <c r="F41" s="292"/>
      <c r="G41" s="292"/>
      <c r="H41" s="292"/>
      <c r="I41" s="292"/>
      <c r="J41" s="292"/>
      <c r="K41" s="292"/>
      <c r="L41" s="292"/>
      <c r="M41" s="23"/>
      <c r="N41" s="24"/>
      <c r="O41" s="24"/>
      <c r="P41" s="24"/>
      <c r="Q41" s="24"/>
      <c r="R41" s="24"/>
      <c r="S41" s="24"/>
      <c r="T41" s="24"/>
      <c r="U41" s="24"/>
    </row>
    <row r="42" spans="1:21" ht="24.95" customHeight="1" x14ac:dyDescent="0.25">
      <c r="A42" s="35" t="str">
        <f>IF(ISNUMBER('2. Antecedentes'!E26),"Esta opinión es válida hasta el "&amp;TEXT('2. Antecedentes'!E26,"dd \d\e mmmm \d\e yyyy")&amp;", salvo cambios en el inmueble, la operación o las condiciones de mercado.","")</f>
        <v/>
      </c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23"/>
      <c r="N42" s="24"/>
      <c r="O42" s="24"/>
      <c r="P42" s="24"/>
      <c r="Q42" s="24"/>
      <c r="R42" s="24"/>
      <c r="S42" s="24"/>
      <c r="T42" s="24"/>
      <c r="U42" s="24"/>
    </row>
    <row r="43" spans="1:2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N43" s="2"/>
      <c r="O43" s="2"/>
      <c r="P43" s="2"/>
      <c r="Q43" s="2"/>
      <c r="R43" s="2"/>
      <c r="S43" s="2"/>
      <c r="T43" s="2"/>
      <c r="U43" s="2"/>
    </row>
    <row r="44" spans="1:2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N44" s="2"/>
      <c r="O44" s="2"/>
      <c r="P44" s="2"/>
      <c r="Q44" s="2"/>
      <c r="R44" s="2"/>
      <c r="S44" s="2"/>
      <c r="T44" s="2"/>
      <c r="U44" s="2"/>
    </row>
    <row r="45" spans="1:2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N45" s="2"/>
      <c r="O45" s="2"/>
      <c r="P45" s="2"/>
      <c r="Q45" s="2"/>
      <c r="R45" s="2"/>
      <c r="S45" s="2"/>
      <c r="T45" s="2"/>
      <c r="U45" s="2"/>
    </row>
    <row r="46" spans="1:2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N46" s="2"/>
      <c r="O46" s="2"/>
      <c r="P46" s="2"/>
      <c r="Q46" s="2"/>
      <c r="R46" s="2"/>
      <c r="S46" s="2"/>
      <c r="T46" s="2"/>
      <c r="U46" s="2"/>
    </row>
    <row r="47" spans="1:2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N47" s="2"/>
      <c r="O47" s="2"/>
      <c r="P47" s="2"/>
      <c r="Q47" s="2"/>
      <c r="R47" s="2"/>
      <c r="S47" s="2"/>
      <c r="T47" s="2"/>
      <c r="U47" s="2"/>
    </row>
    <row r="48" spans="1:2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N48" s="2"/>
      <c r="O48" s="2"/>
      <c r="P48" s="2"/>
      <c r="Q48" s="2"/>
      <c r="R48" s="2"/>
      <c r="S48" s="2"/>
      <c r="T48" s="2"/>
      <c r="U48" s="2"/>
    </row>
    <row r="49" spans="1:2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N49" s="2"/>
      <c r="O49" s="2"/>
      <c r="P49" s="2"/>
      <c r="Q49" s="2"/>
      <c r="R49" s="2"/>
      <c r="S49" s="2"/>
      <c r="T49" s="2"/>
      <c r="U49" s="2"/>
    </row>
    <row r="50" spans="1:2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N50" s="2"/>
      <c r="O50" s="2"/>
      <c r="P50" s="2"/>
      <c r="Q50" s="2"/>
      <c r="R50" s="2"/>
      <c r="S50" s="2"/>
      <c r="T50" s="2"/>
      <c r="U50" s="2"/>
    </row>
    <row r="51" spans="1:2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N51" s="2"/>
      <c r="O51" s="2"/>
      <c r="P51" s="2"/>
      <c r="Q51" s="2"/>
      <c r="R51" s="2"/>
      <c r="S51" s="2"/>
      <c r="T51" s="2"/>
      <c r="U51" s="2"/>
    </row>
    <row r="52" spans="1:2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N52" s="2"/>
      <c r="O52" s="2"/>
      <c r="P52" s="2"/>
      <c r="Q52" s="2"/>
      <c r="R52" s="2"/>
      <c r="S52" s="2"/>
      <c r="T52" s="2"/>
      <c r="U52" s="2"/>
    </row>
    <row r="53" spans="1:2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N53" s="2"/>
      <c r="O53" s="2"/>
      <c r="P53" s="2"/>
      <c r="Q53" s="2"/>
      <c r="R53" s="2"/>
      <c r="S53" s="2"/>
      <c r="T53" s="2"/>
      <c r="U53" s="2"/>
    </row>
    <row r="54" spans="1:2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N54" s="2"/>
      <c r="O54" s="2"/>
      <c r="P54" s="2"/>
      <c r="Q54" s="2"/>
      <c r="R54" s="2"/>
      <c r="S54" s="2"/>
      <c r="T54" s="2"/>
      <c r="U54" s="2"/>
    </row>
    <row r="55" spans="1:2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N55" s="2"/>
      <c r="O55" s="2"/>
      <c r="P55" s="2"/>
      <c r="Q55" s="2"/>
      <c r="R55" s="2"/>
      <c r="S55" s="2"/>
      <c r="T55" s="2"/>
      <c r="U55" s="2"/>
    </row>
    <row r="56" spans="1:2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N56" s="2"/>
      <c r="O56" s="2"/>
      <c r="P56" s="2"/>
      <c r="Q56" s="2"/>
      <c r="R56" s="2"/>
      <c r="S56" s="2"/>
      <c r="T56" s="2"/>
      <c r="U56" s="2"/>
    </row>
    <row r="57" spans="1:2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N57" s="2"/>
      <c r="O57" s="2"/>
      <c r="P57" s="2"/>
      <c r="Q57" s="2"/>
      <c r="R57" s="2"/>
      <c r="S57" s="2"/>
      <c r="T57" s="2"/>
      <c r="U57" s="2"/>
    </row>
    <row r="58" spans="1:2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N58" s="2"/>
      <c r="O58" s="2"/>
      <c r="P58" s="2"/>
      <c r="Q58" s="2"/>
      <c r="R58" s="2"/>
      <c r="S58" s="2"/>
      <c r="T58" s="2"/>
      <c r="U58" s="2"/>
    </row>
    <row r="59" spans="1:2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N59" s="2"/>
      <c r="O59" s="2"/>
      <c r="P59" s="2"/>
      <c r="Q59" s="2"/>
      <c r="R59" s="2"/>
      <c r="S59" s="2"/>
      <c r="T59" s="2"/>
      <c r="U59" s="2"/>
    </row>
    <row r="60" spans="1:2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N60" s="2"/>
      <c r="O60" s="2"/>
      <c r="P60" s="2"/>
      <c r="Q60" s="2"/>
      <c r="R60" s="2"/>
      <c r="S60" s="2"/>
      <c r="T60" s="2"/>
      <c r="U60" s="2"/>
    </row>
    <row r="61" spans="1:21" x14ac:dyDescent="0.25">
      <c r="N61" s="2"/>
      <c r="O61" s="2"/>
      <c r="P61" s="2"/>
      <c r="Q61" s="2"/>
      <c r="R61" s="2"/>
      <c r="S61" s="2"/>
      <c r="T61" s="2"/>
      <c r="U61" s="2"/>
    </row>
    <row r="62" spans="1:21" x14ac:dyDescent="0.25">
      <c r="N62" s="2"/>
      <c r="O62" s="2"/>
      <c r="P62" s="2"/>
      <c r="Q62" s="2"/>
      <c r="R62" s="2"/>
      <c r="S62" s="2"/>
      <c r="T62" s="2"/>
      <c r="U62" s="2"/>
    </row>
    <row r="63" spans="1:21" x14ac:dyDescent="0.25">
      <c r="N63" s="2"/>
      <c r="O63" s="2"/>
      <c r="P63" s="2"/>
      <c r="Q63" s="2"/>
      <c r="R63" s="2"/>
      <c r="S63" s="2"/>
      <c r="T63" s="2"/>
      <c r="U63" s="2"/>
    </row>
    <row r="64" spans="1:21" x14ac:dyDescent="0.25">
      <c r="N64" s="2"/>
      <c r="O64" s="2"/>
      <c r="P64" s="2"/>
      <c r="Q64" s="2"/>
      <c r="R64" s="2"/>
      <c r="S64" s="2"/>
      <c r="T64" s="2"/>
      <c r="U64" s="2"/>
    </row>
    <row r="65" spans="14:21" x14ac:dyDescent="0.25">
      <c r="N65" s="2"/>
      <c r="O65" s="2"/>
      <c r="P65" s="2"/>
      <c r="Q65" s="2"/>
      <c r="R65" s="2"/>
      <c r="S65" s="2"/>
      <c r="T65" s="2"/>
      <c r="U65" s="2"/>
    </row>
    <row r="66" spans="14:21" x14ac:dyDescent="0.25">
      <c r="N66" s="2"/>
      <c r="O66" s="2"/>
      <c r="P66" s="2"/>
      <c r="Q66" s="2"/>
      <c r="R66" s="2"/>
      <c r="S66" s="2"/>
      <c r="T66" s="2"/>
      <c r="U66" s="2"/>
    </row>
    <row r="67" spans="14:21" x14ac:dyDescent="0.25">
      <c r="N67" s="2"/>
      <c r="O67" s="2"/>
      <c r="P67" s="2"/>
      <c r="Q67" s="2"/>
      <c r="R67" s="2"/>
      <c r="S67" s="2"/>
      <c r="T67" s="2"/>
      <c r="U67" s="2"/>
    </row>
    <row r="68" spans="14:21" x14ac:dyDescent="0.25">
      <c r="N68" s="2"/>
      <c r="O68" s="2"/>
      <c r="P68" s="2"/>
      <c r="Q68" s="2"/>
      <c r="R68" s="2"/>
      <c r="S68" s="2"/>
      <c r="T68" s="2"/>
      <c r="U68" s="2"/>
    </row>
    <row r="69" spans="14:21" x14ac:dyDescent="0.25">
      <c r="N69" s="2"/>
      <c r="O69" s="2"/>
      <c r="P69" s="2"/>
      <c r="Q69" s="2"/>
      <c r="R69" s="2"/>
      <c r="S69" s="2"/>
      <c r="T69" s="2"/>
      <c r="U69" s="2"/>
    </row>
    <row r="70" spans="14:21" x14ac:dyDescent="0.25">
      <c r="N70" s="2"/>
      <c r="O70" s="2"/>
      <c r="P70" s="2"/>
      <c r="Q70" s="2"/>
      <c r="R70" s="2"/>
      <c r="S70" s="2"/>
      <c r="T70" s="2"/>
      <c r="U70" s="2"/>
    </row>
    <row r="71" spans="14:21" x14ac:dyDescent="0.25">
      <c r="N71" s="2"/>
      <c r="O71" s="2"/>
      <c r="P71" s="2"/>
      <c r="Q71" s="2"/>
      <c r="R71" s="2"/>
      <c r="S71" s="2"/>
      <c r="T71" s="2"/>
      <c r="U71" s="2"/>
    </row>
    <row r="72" spans="14:21" x14ac:dyDescent="0.25">
      <c r="N72" s="2"/>
      <c r="O72" s="2"/>
      <c r="P72" s="2"/>
      <c r="Q72" s="2"/>
      <c r="R72" s="2"/>
      <c r="S72" s="2"/>
      <c r="T72" s="2"/>
      <c r="U72" s="2"/>
    </row>
    <row r="73" spans="14:21" x14ac:dyDescent="0.25">
      <c r="N73" s="2"/>
      <c r="O73" s="2"/>
      <c r="P73" s="2"/>
      <c r="Q73" s="2"/>
      <c r="R73" s="2"/>
      <c r="S73" s="2"/>
      <c r="T73" s="2"/>
      <c r="U73" s="2"/>
    </row>
    <row r="74" spans="14:21" x14ac:dyDescent="0.25">
      <c r="N74" s="2"/>
      <c r="O74" s="2"/>
      <c r="P74" s="2"/>
      <c r="Q74" s="2"/>
      <c r="R74" s="2"/>
      <c r="S74" s="2"/>
      <c r="T74" s="2"/>
      <c r="U74" s="2"/>
    </row>
    <row r="75" spans="14:21" x14ac:dyDescent="0.25">
      <c r="N75" s="2"/>
      <c r="O75" s="2"/>
      <c r="P75" s="2"/>
      <c r="Q75" s="2"/>
      <c r="R75" s="2"/>
      <c r="S75" s="2"/>
      <c r="T75" s="2"/>
      <c r="U75" s="2"/>
    </row>
    <row r="76" spans="14:21" x14ac:dyDescent="0.25">
      <c r="N76" s="2"/>
      <c r="O76" s="2"/>
      <c r="P76" s="2"/>
      <c r="Q76" s="2"/>
      <c r="R76" s="2"/>
      <c r="S76" s="2"/>
      <c r="T76" s="2"/>
      <c r="U76" s="2"/>
    </row>
    <row r="77" spans="14:21" x14ac:dyDescent="0.25">
      <c r="N77" s="2"/>
      <c r="O77" s="2"/>
      <c r="P77" s="2"/>
      <c r="Q77" s="2"/>
      <c r="R77" s="2"/>
      <c r="S77" s="2"/>
      <c r="T77" s="2"/>
      <c r="U77" s="2"/>
    </row>
    <row r="78" spans="14:21" x14ac:dyDescent="0.25">
      <c r="N78" s="2"/>
      <c r="O78" s="2"/>
      <c r="P78" s="2"/>
      <c r="Q78" s="2"/>
      <c r="R78" s="2"/>
      <c r="S78" s="2"/>
      <c r="T78" s="2"/>
      <c r="U78" s="2"/>
    </row>
    <row r="79" spans="14:21" x14ac:dyDescent="0.25">
      <c r="N79" s="2"/>
      <c r="O79" s="2"/>
      <c r="P79" s="2"/>
      <c r="Q79" s="2"/>
      <c r="R79" s="2"/>
      <c r="S79" s="2"/>
      <c r="T79" s="2"/>
      <c r="U79" s="2"/>
    </row>
    <row r="80" spans="14:21" x14ac:dyDescent="0.25">
      <c r="N80" s="2"/>
      <c r="O80" s="2"/>
      <c r="P80" s="2"/>
      <c r="Q80" s="2"/>
      <c r="R80" s="2"/>
      <c r="S80" s="2"/>
      <c r="T80" s="2"/>
      <c r="U80" s="2"/>
    </row>
    <row r="81" spans="14:21" x14ac:dyDescent="0.25">
      <c r="N81" s="2"/>
      <c r="O81" s="2"/>
      <c r="P81" s="2"/>
      <c r="Q81" s="2"/>
      <c r="R81" s="2"/>
      <c r="S81" s="2"/>
      <c r="T81" s="2"/>
      <c r="U81" s="2"/>
    </row>
    <row r="82" spans="14:21" x14ac:dyDescent="0.25">
      <c r="N82" s="2"/>
      <c r="O82" s="2"/>
      <c r="P82" s="2"/>
      <c r="Q82" s="2"/>
      <c r="R82" s="2"/>
      <c r="S82" s="2"/>
      <c r="T82" s="2"/>
      <c r="U82" s="2"/>
    </row>
    <row r="83" spans="14:21" x14ac:dyDescent="0.25">
      <c r="N83" s="2"/>
      <c r="O83" s="2"/>
      <c r="P83" s="2"/>
      <c r="Q83" s="2"/>
      <c r="R83" s="2"/>
      <c r="S83" s="2"/>
      <c r="T83" s="2"/>
      <c r="U83" s="2"/>
    </row>
    <row r="84" spans="14:21" x14ac:dyDescent="0.25">
      <c r="N84" s="2"/>
      <c r="O84" s="2"/>
      <c r="P84" s="2"/>
      <c r="Q84" s="2"/>
      <c r="R84" s="2"/>
      <c r="S84" s="2"/>
      <c r="T84" s="2"/>
      <c r="U84" s="2"/>
    </row>
    <row r="85" spans="14:21" x14ac:dyDescent="0.25">
      <c r="N85" s="2"/>
      <c r="O85" s="2"/>
      <c r="P85" s="2"/>
      <c r="Q85" s="2"/>
      <c r="R85" s="2"/>
      <c r="S85" s="2"/>
      <c r="T85" s="2"/>
      <c r="U85" s="2"/>
    </row>
    <row r="86" spans="14:21" x14ac:dyDescent="0.25">
      <c r="N86" s="2"/>
      <c r="O86" s="2"/>
      <c r="P86" s="2"/>
      <c r="Q86" s="2"/>
      <c r="R86" s="2"/>
      <c r="S86" s="2"/>
      <c r="T86" s="2"/>
      <c r="U86" s="2"/>
    </row>
    <row r="87" spans="14:21" x14ac:dyDescent="0.25">
      <c r="N87" s="2"/>
      <c r="O87" s="2"/>
      <c r="P87" s="2"/>
      <c r="Q87" s="2"/>
      <c r="R87" s="2"/>
      <c r="S87" s="2"/>
      <c r="T87" s="2"/>
      <c r="U87" s="2"/>
    </row>
    <row r="88" spans="14:21" x14ac:dyDescent="0.25">
      <c r="N88" s="2"/>
      <c r="O88" s="2"/>
      <c r="P88" s="2"/>
      <c r="Q88" s="2"/>
      <c r="R88" s="2"/>
      <c r="S88" s="2"/>
      <c r="T88" s="2"/>
      <c r="U88" s="2"/>
    </row>
    <row r="89" spans="14:21" x14ac:dyDescent="0.25">
      <c r="N89" s="2"/>
      <c r="O89" s="2"/>
      <c r="P89" s="2"/>
      <c r="Q89" s="2"/>
      <c r="R89" s="2"/>
      <c r="S89" s="2"/>
      <c r="T89" s="2"/>
      <c r="U89" s="2"/>
    </row>
    <row r="90" spans="14:21" x14ac:dyDescent="0.25">
      <c r="N90" s="2"/>
      <c r="O90" s="2"/>
      <c r="P90" s="2"/>
      <c r="Q90" s="2"/>
      <c r="R90" s="2"/>
      <c r="S90" s="2"/>
      <c r="T90" s="2"/>
      <c r="U90" s="2"/>
    </row>
    <row r="91" spans="14:21" x14ac:dyDescent="0.25">
      <c r="N91" s="2"/>
      <c r="O91" s="2"/>
      <c r="P91" s="2"/>
      <c r="Q91" s="2"/>
      <c r="R91" s="2"/>
      <c r="S91" s="2"/>
      <c r="T91" s="2"/>
      <c r="U91" s="2"/>
    </row>
    <row r="92" spans="14:21" x14ac:dyDescent="0.25">
      <c r="N92" s="2"/>
      <c r="O92" s="2"/>
      <c r="P92" s="2"/>
      <c r="Q92" s="2"/>
      <c r="R92" s="2"/>
      <c r="S92" s="2"/>
      <c r="T92" s="2"/>
      <c r="U92" s="2"/>
    </row>
    <row r="93" spans="14:21" x14ac:dyDescent="0.25">
      <c r="N93" s="2"/>
      <c r="O93" s="2"/>
      <c r="P93" s="2"/>
      <c r="Q93" s="2"/>
      <c r="R93" s="2"/>
      <c r="S93" s="2"/>
      <c r="T93" s="2"/>
      <c r="U93" s="2"/>
    </row>
    <row r="94" spans="14:21" x14ac:dyDescent="0.25">
      <c r="N94" s="2"/>
      <c r="O94" s="2"/>
      <c r="P94" s="2"/>
      <c r="Q94" s="2"/>
      <c r="R94" s="2"/>
      <c r="S94" s="2"/>
      <c r="T94" s="2"/>
      <c r="U94" s="2"/>
    </row>
    <row r="95" spans="14:21" x14ac:dyDescent="0.25">
      <c r="N95" s="2"/>
      <c r="O95" s="2"/>
      <c r="P95" s="2"/>
      <c r="Q95" s="2"/>
      <c r="R95" s="2"/>
      <c r="S95" s="2"/>
      <c r="T95" s="2"/>
      <c r="U95" s="2"/>
    </row>
    <row r="96" spans="14:21" x14ac:dyDescent="0.25">
      <c r="N96" s="2"/>
      <c r="O96" s="2"/>
      <c r="P96" s="2"/>
      <c r="Q96" s="2"/>
      <c r="R96" s="2"/>
      <c r="S96" s="2"/>
      <c r="T96" s="2"/>
      <c r="U96" s="2"/>
    </row>
    <row r="97" spans="14:21" x14ac:dyDescent="0.25">
      <c r="N97" s="2"/>
      <c r="O97" s="2"/>
      <c r="P97" s="2"/>
      <c r="Q97" s="2"/>
      <c r="R97" s="2"/>
      <c r="S97" s="2"/>
      <c r="T97" s="2"/>
      <c r="U97" s="2"/>
    </row>
    <row r="98" spans="14:21" x14ac:dyDescent="0.25">
      <c r="N98" s="2"/>
      <c r="O98" s="2"/>
      <c r="P98" s="2"/>
      <c r="Q98" s="2"/>
      <c r="R98" s="2"/>
      <c r="S98" s="2"/>
      <c r="T98" s="2"/>
      <c r="U98" s="2"/>
    </row>
    <row r="99" spans="14:21" x14ac:dyDescent="0.25">
      <c r="N99" s="2"/>
      <c r="O99" s="2"/>
      <c r="P99" s="2"/>
      <c r="Q99" s="2"/>
      <c r="R99" s="2"/>
      <c r="S99" s="2"/>
      <c r="T99" s="2"/>
      <c r="U99" s="2"/>
    </row>
    <row r="100" spans="14:21" x14ac:dyDescent="0.25">
      <c r="N100" s="2"/>
      <c r="O100" s="2"/>
      <c r="P100" s="2"/>
      <c r="Q100" s="2"/>
      <c r="R100" s="2"/>
      <c r="S100" s="2"/>
      <c r="T100" s="2"/>
      <c r="U100" s="2"/>
    </row>
    <row r="101" spans="14:21" x14ac:dyDescent="0.25">
      <c r="N101" s="2"/>
      <c r="O101" s="2"/>
      <c r="P101" s="2"/>
      <c r="Q101" s="2"/>
      <c r="R101" s="2"/>
      <c r="S101" s="2"/>
      <c r="T101" s="2"/>
      <c r="U101" s="2"/>
    </row>
    <row r="102" spans="14:21" x14ac:dyDescent="0.25">
      <c r="N102" s="2"/>
      <c r="O102" s="2"/>
      <c r="P102" s="2"/>
      <c r="Q102" s="2"/>
      <c r="R102" s="2"/>
      <c r="S102" s="2"/>
      <c r="T102" s="2"/>
      <c r="U102" s="2"/>
    </row>
    <row r="103" spans="14:21" x14ac:dyDescent="0.25">
      <c r="N103" s="2"/>
      <c r="O103" s="2"/>
      <c r="P103" s="2"/>
      <c r="Q103" s="2"/>
      <c r="R103" s="2"/>
      <c r="S103" s="2"/>
      <c r="T103" s="2"/>
      <c r="U103" s="2"/>
    </row>
    <row r="104" spans="14:21" x14ac:dyDescent="0.25">
      <c r="N104" s="2"/>
      <c r="O104" s="2"/>
      <c r="P104" s="2"/>
      <c r="Q104" s="2"/>
      <c r="R104" s="2"/>
      <c r="S104" s="2"/>
      <c r="T104" s="2"/>
      <c r="U104" s="2"/>
    </row>
    <row r="105" spans="14:21" x14ac:dyDescent="0.25">
      <c r="N105" s="2"/>
      <c r="O105" s="2"/>
      <c r="P105" s="2"/>
      <c r="Q105" s="2"/>
      <c r="R105" s="2"/>
      <c r="S105" s="2"/>
      <c r="T105" s="2"/>
      <c r="U105" s="2"/>
    </row>
    <row r="106" spans="14:21" x14ac:dyDescent="0.25">
      <c r="N106" s="2"/>
      <c r="O106" s="2"/>
      <c r="P106" s="2"/>
      <c r="Q106" s="2"/>
      <c r="R106" s="2"/>
      <c r="S106" s="2"/>
      <c r="T106" s="2"/>
      <c r="U106" s="2"/>
    </row>
    <row r="107" spans="14:21" x14ac:dyDescent="0.25">
      <c r="N107" s="2"/>
      <c r="O107" s="2"/>
      <c r="P107" s="2"/>
      <c r="Q107" s="2"/>
      <c r="R107" s="2"/>
      <c r="S107" s="2"/>
      <c r="T107" s="2"/>
      <c r="U107" s="2"/>
    </row>
    <row r="108" spans="14:21" x14ac:dyDescent="0.25">
      <c r="N108" s="2"/>
      <c r="O108" s="2"/>
      <c r="P108" s="2"/>
      <c r="Q108" s="2"/>
      <c r="R108" s="2"/>
      <c r="S108" s="2"/>
      <c r="T108" s="2"/>
      <c r="U108" s="2"/>
    </row>
    <row r="109" spans="14:21" x14ac:dyDescent="0.25">
      <c r="N109" s="2"/>
      <c r="O109" s="2"/>
      <c r="P109" s="2"/>
      <c r="Q109" s="2"/>
      <c r="R109" s="2"/>
      <c r="S109" s="2"/>
      <c r="T109" s="2"/>
      <c r="U109" s="2"/>
    </row>
    <row r="110" spans="14:21" x14ac:dyDescent="0.25">
      <c r="N110" s="2"/>
      <c r="O110" s="2"/>
      <c r="P110" s="2"/>
      <c r="Q110" s="2"/>
      <c r="R110" s="2"/>
      <c r="S110" s="2"/>
      <c r="T110" s="2"/>
      <c r="U110" s="2"/>
    </row>
    <row r="111" spans="14:21" x14ac:dyDescent="0.25">
      <c r="N111" s="2"/>
      <c r="O111" s="2"/>
      <c r="P111" s="2"/>
      <c r="Q111" s="2"/>
      <c r="R111" s="2"/>
      <c r="S111" s="2"/>
      <c r="T111" s="2"/>
      <c r="U111" s="2"/>
    </row>
    <row r="112" spans="14:21" x14ac:dyDescent="0.25">
      <c r="N112" s="2"/>
      <c r="O112" s="2"/>
      <c r="P112" s="2"/>
      <c r="Q112" s="2"/>
      <c r="R112" s="2"/>
      <c r="S112" s="2"/>
      <c r="T112" s="2"/>
      <c r="U112" s="2"/>
    </row>
    <row r="113" spans="14:21" x14ac:dyDescent="0.25">
      <c r="N113" s="2"/>
      <c r="O113" s="2"/>
      <c r="P113" s="2"/>
      <c r="Q113" s="2"/>
      <c r="R113" s="2"/>
      <c r="S113" s="2"/>
      <c r="T113" s="2"/>
      <c r="U113" s="2"/>
    </row>
    <row r="114" spans="14:21" x14ac:dyDescent="0.25">
      <c r="N114" s="2"/>
      <c r="O114" s="2"/>
      <c r="P114" s="2"/>
      <c r="Q114" s="2"/>
      <c r="R114" s="2"/>
      <c r="S114" s="2"/>
      <c r="T114" s="2"/>
      <c r="U114" s="2"/>
    </row>
    <row r="115" spans="14:21" x14ac:dyDescent="0.25">
      <c r="N115" s="2"/>
      <c r="O115" s="2"/>
      <c r="P115" s="2"/>
      <c r="Q115" s="2"/>
      <c r="R115" s="2"/>
      <c r="S115" s="2"/>
      <c r="T115" s="2"/>
      <c r="U115" s="2"/>
    </row>
  </sheetData>
  <mergeCells count="61">
    <mergeCell ref="D39:I39"/>
    <mergeCell ref="D38:I38"/>
    <mergeCell ref="A35:C35"/>
    <mergeCell ref="D35:F35"/>
    <mergeCell ref="G35:H35"/>
    <mergeCell ref="I35:L35"/>
    <mergeCell ref="D37:I37"/>
    <mergeCell ref="A27:L31"/>
    <mergeCell ref="A33:L33"/>
    <mergeCell ref="A34:C34"/>
    <mergeCell ref="D34:F34"/>
    <mergeCell ref="G34:H34"/>
    <mergeCell ref="I34:L34"/>
    <mergeCell ref="A16:H16"/>
    <mergeCell ref="I16:L16"/>
    <mergeCell ref="A18:L18"/>
    <mergeCell ref="A19:L24"/>
    <mergeCell ref="A26:L26"/>
    <mergeCell ref="A17:L17"/>
    <mergeCell ref="A14:C14"/>
    <mergeCell ref="D14:E14"/>
    <mergeCell ref="F14:H14"/>
    <mergeCell ref="I14:L14"/>
    <mergeCell ref="A15:L15"/>
    <mergeCell ref="F12:H12"/>
    <mergeCell ref="I12:L12"/>
    <mergeCell ref="A13:C13"/>
    <mergeCell ref="D13:E13"/>
    <mergeCell ref="F13:H13"/>
    <mergeCell ref="I13:L13"/>
    <mergeCell ref="A9:L9"/>
    <mergeCell ref="A10:C10"/>
    <mergeCell ref="D10:E10"/>
    <mergeCell ref="F10:H10"/>
    <mergeCell ref="I10:L10"/>
    <mergeCell ref="C2:H2"/>
    <mergeCell ref="I2:L3"/>
    <mergeCell ref="C3:H3"/>
    <mergeCell ref="A5:L5"/>
    <mergeCell ref="A7:L7"/>
    <mergeCell ref="N7:U7"/>
    <mergeCell ref="N9:P9"/>
    <mergeCell ref="Q9:U9"/>
    <mergeCell ref="N10:P10"/>
    <mergeCell ref="Q10:U10"/>
    <mergeCell ref="N15:P15"/>
    <mergeCell ref="Q15:U15"/>
    <mergeCell ref="A41:L41"/>
    <mergeCell ref="A42:L42"/>
    <mergeCell ref="N11:P11"/>
    <mergeCell ref="Q11:U11"/>
    <mergeCell ref="N12:P12"/>
    <mergeCell ref="Q12:U12"/>
    <mergeCell ref="N13:P13"/>
    <mergeCell ref="Q13:U13"/>
    <mergeCell ref="A11:C11"/>
    <mergeCell ref="D11:E11"/>
    <mergeCell ref="F11:H11"/>
    <mergeCell ref="I11:L11"/>
    <mergeCell ref="A12:C12"/>
    <mergeCell ref="D12:E12"/>
  </mergeCells>
  <conditionalFormatting sqref="Q15">
    <cfRule type="expression" dxfId="0" priority="1">
      <formula>AND(Q15&lt;&gt;"",Q15&lt;&gt;"Incluido",Q15&lt;&gt;"Revisada",Q15&lt;&gt;"Bases completas",Q15&lt;&gt;"Excluido")</formula>
    </cfRule>
  </conditionalFormatting>
  <dataValidations count="2">
    <dataValidation type="list" sqref="Q10" xr:uid="{00000000-0002-0000-0A00-000000000000}">
      <formula1>"Pendiente,Revisada"</formula1>
    </dataValidation>
    <dataValidation type="decimal" sqref="D11:D13" xr:uid="{00000000-0002-0000-0A00-000001000000}">
      <formula1>0</formula1>
      <formula2>1</formula2>
    </dataValidation>
  </dataValidations>
  <hyperlinks>
    <hyperlink ref="N5" location="'Índice'!N7" tooltip="Abrir guía de uso" display="GUÍA DE USO" xr:uid="{754126CD-FF4B-463E-AB2E-449065D26CBF}"/>
    <hyperlink ref="N6" location="'9. Conciliación'!A1" tooltip="Volver al informe" display="VOLVER AL INFORME" xr:uid="{645762BF-9BA7-4496-8FAB-5A274C9ADA90}"/>
  </hyperlinks>
  <printOptions horizontalCentered="1"/>
  <pageMargins left="0.28000000000000003" right="0.28000000000000003" top="0.4" bottom="0.5" header="0.25" footer="0.25"/>
  <pageSetup scale="93" orientation="portrait" r:id="rId1"/>
  <headerFooter>
    <oddFooter>&amp;C&amp;"Arial"&amp;8&amp;K6B7280&amp;P/&amp;F</oddFoot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F6B4E"/>
    <pageSetUpPr fitToPage="1"/>
  </sheetPr>
  <dimension ref="A1:U115"/>
  <sheetViews>
    <sheetView showGridLines="0" zoomScaleNormal="100" workbookViewId="0"/>
  </sheetViews>
  <sheetFormatPr baseColWidth="10" defaultColWidth="9.140625" defaultRowHeight="15" x14ac:dyDescent="0.25"/>
  <cols>
    <col min="1" max="12" width="9" customWidth="1"/>
    <col min="13" max="13" width="3" customWidth="1"/>
    <col min="14" max="21" width="18" customWidth="1"/>
  </cols>
  <sheetData>
    <row r="1" spans="1:2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N1" s="2"/>
      <c r="O1" s="2"/>
      <c r="P1" s="2"/>
      <c r="Q1" s="2"/>
      <c r="R1" s="2"/>
      <c r="S1" s="2"/>
      <c r="T1" s="2"/>
      <c r="U1" s="2"/>
    </row>
    <row r="2" spans="1:21" ht="18" customHeight="1" x14ac:dyDescent="0.25">
      <c r="A2" s="11"/>
      <c r="B2" s="11"/>
      <c r="C2" s="21"/>
      <c r="D2" s="21"/>
      <c r="E2" s="21"/>
      <c r="F2" s="21"/>
      <c r="G2" s="21"/>
      <c r="H2" s="21"/>
      <c r="I2" s="8" t="str">
        <f>"Opinión de valor comercial"&amp;IF('2. Antecedentes'!$Q$9&lt;&gt;"",CHAR(10)&amp;"Folio "&amp;'2. Antecedentes'!$Q$9,"")</f>
        <v>Opinión de valor comercial</v>
      </c>
      <c r="J2" s="22"/>
      <c r="K2" s="22"/>
      <c r="L2" s="22"/>
      <c r="N2" s="2"/>
      <c r="O2" s="2"/>
      <c r="P2" s="2"/>
      <c r="Q2" s="2"/>
      <c r="R2" s="2"/>
      <c r="S2" s="2"/>
      <c r="T2" s="2"/>
      <c r="U2" s="2"/>
    </row>
    <row r="3" spans="1:21" ht="12" customHeight="1" x14ac:dyDescent="0.25">
      <c r="A3" s="11"/>
      <c r="B3" s="11"/>
      <c r="C3" s="25"/>
      <c r="D3" s="25"/>
      <c r="E3" s="25"/>
      <c r="F3" s="25"/>
      <c r="G3" s="25"/>
      <c r="H3" s="25"/>
      <c r="I3" s="22"/>
      <c r="J3" s="22"/>
      <c r="K3" s="22"/>
      <c r="L3" s="22"/>
      <c r="N3" s="2"/>
      <c r="O3" s="2"/>
      <c r="P3" s="2"/>
      <c r="Q3" s="2"/>
      <c r="R3" s="2"/>
      <c r="S3" s="2"/>
      <c r="T3" s="2"/>
      <c r="U3" s="2"/>
    </row>
    <row r="4" spans="1:21" ht="8.1" customHeight="1" thickBot="1" x14ac:dyDescent="0.3">
      <c r="A4" s="350"/>
      <c r="B4" s="350"/>
      <c r="C4" s="350"/>
      <c r="D4" s="26"/>
      <c r="E4" s="26"/>
      <c r="F4" s="26"/>
      <c r="G4" s="26"/>
      <c r="H4" s="26"/>
      <c r="I4" s="26"/>
      <c r="J4" s="26"/>
      <c r="K4" s="26"/>
      <c r="L4" s="26"/>
      <c r="N4" s="2"/>
      <c r="O4" s="2"/>
      <c r="P4" s="2"/>
      <c r="Q4" s="2"/>
      <c r="R4" s="2"/>
      <c r="S4" s="2"/>
      <c r="T4" s="2"/>
      <c r="U4" s="2"/>
    </row>
    <row r="5" spans="1:21" ht="3" customHeight="1" x14ac:dyDescent="0.2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N5" s="9"/>
      <c r="O5" s="2"/>
      <c r="P5" s="2"/>
      <c r="Q5" s="2"/>
      <c r="R5" s="2"/>
      <c r="S5" s="2"/>
      <c r="T5" s="2"/>
      <c r="U5" s="2"/>
    </row>
    <row r="6" spans="1:2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N6" s="9"/>
      <c r="O6" s="2"/>
      <c r="P6" s="2"/>
      <c r="Q6" s="2"/>
      <c r="R6" s="2"/>
      <c r="S6" s="2"/>
      <c r="T6" s="2"/>
      <c r="U6" s="2"/>
    </row>
    <row r="7" spans="1:21" ht="21.95" customHeight="1" x14ac:dyDescent="0.25">
      <c r="A7" s="28" t="s">
        <v>194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N7" s="2"/>
      <c r="O7" s="2"/>
      <c r="P7" s="2"/>
      <c r="Q7" s="2"/>
      <c r="R7" s="2"/>
      <c r="S7" s="2"/>
      <c r="T7" s="2"/>
      <c r="U7" s="2"/>
    </row>
    <row r="8" spans="1:21" ht="14.1" customHeight="1" x14ac:dyDescent="0.25">
      <c r="A8" s="118" t="s">
        <v>373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N8" s="2"/>
      <c r="O8" s="2"/>
      <c r="P8" s="2"/>
      <c r="Q8" s="2"/>
      <c r="R8" s="2"/>
      <c r="S8" s="2"/>
      <c r="T8" s="2"/>
      <c r="U8" s="2"/>
    </row>
    <row r="9" spans="1:21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N9" s="2"/>
      <c r="O9" s="2"/>
      <c r="P9" s="2"/>
      <c r="Q9" s="2"/>
      <c r="R9" s="2"/>
      <c r="S9" s="2"/>
      <c r="T9" s="2"/>
      <c r="U9" s="2"/>
    </row>
    <row r="10" spans="1:21" ht="12" customHeight="1" x14ac:dyDescent="0.25">
      <c r="A10" s="349" t="s">
        <v>195</v>
      </c>
      <c r="B10" s="290"/>
      <c r="C10" s="13"/>
      <c r="D10" s="13"/>
      <c r="E10" s="13"/>
      <c r="F10" s="348"/>
      <c r="G10" s="349" t="s">
        <v>196</v>
      </c>
      <c r="H10" s="290"/>
      <c r="I10" s="13"/>
      <c r="J10" s="13"/>
      <c r="K10" s="13"/>
      <c r="L10" s="13"/>
      <c r="N10" s="2"/>
      <c r="O10" s="2"/>
      <c r="P10" s="2"/>
      <c r="Q10" s="2"/>
      <c r="R10" s="2"/>
      <c r="S10" s="2"/>
      <c r="T10" s="2"/>
      <c r="U10" s="2"/>
    </row>
    <row r="11" spans="1:21" ht="12" customHeight="1" x14ac:dyDescent="0.25">
      <c r="A11" s="291"/>
      <c r="B11" s="13"/>
      <c r="C11" s="13"/>
      <c r="D11" s="13"/>
      <c r="E11" s="13"/>
      <c r="F11" s="13"/>
      <c r="G11" s="291"/>
      <c r="H11" s="13"/>
      <c r="I11" s="13"/>
      <c r="J11" s="13"/>
      <c r="K11" s="13"/>
      <c r="L11" s="13"/>
      <c r="N11" s="2"/>
      <c r="O11" s="2"/>
      <c r="P11" s="2"/>
      <c r="Q11" s="2"/>
      <c r="R11" s="2"/>
      <c r="S11" s="2"/>
      <c r="T11" s="2"/>
      <c r="U11" s="2"/>
    </row>
    <row r="12" spans="1:21" ht="12" customHeight="1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N12" s="2"/>
      <c r="O12" s="2"/>
      <c r="P12" s="2"/>
      <c r="Q12" s="2"/>
      <c r="R12" s="2"/>
      <c r="S12" s="2"/>
      <c r="T12" s="2"/>
      <c r="U12" s="2"/>
    </row>
    <row r="13" spans="1:21" ht="12" customHeight="1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N13" s="2"/>
      <c r="O13" s="2"/>
      <c r="P13" s="2"/>
      <c r="Q13" s="2"/>
      <c r="R13" s="2"/>
      <c r="S13" s="2"/>
      <c r="T13" s="2"/>
      <c r="U13" s="2"/>
    </row>
    <row r="14" spans="1:21" ht="12" customHeight="1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N14" s="2"/>
      <c r="O14" s="2"/>
      <c r="P14" s="2"/>
      <c r="Q14" s="2"/>
      <c r="R14" s="2"/>
      <c r="S14" s="2"/>
      <c r="T14" s="2"/>
      <c r="U14" s="2"/>
    </row>
    <row r="15" spans="1:21" ht="12" customHeight="1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N15" s="2"/>
      <c r="O15" s="2"/>
      <c r="P15" s="2"/>
      <c r="Q15" s="2"/>
      <c r="R15" s="2"/>
      <c r="S15" s="2"/>
      <c r="T15" s="2"/>
      <c r="U15" s="2"/>
    </row>
    <row r="16" spans="1:21" ht="12" customHeight="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N16" s="2"/>
      <c r="O16" s="2"/>
      <c r="P16" s="2"/>
      <c r="Q16" s="2"/>
      <c r="R16" s="2"/>
      <c r="S16" s="2"/>
      <c r="T16" s="2"/>
      <c r="U16" s="2"/>
    </row>
    <row r="17" spans="1:21" ht="12" customHeight="1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N17" s="2"/>
      <c r="O17" s="2"/>
      <c r="P17" s="2"/>
      <c r="Q17" s="2"/>
      <c r="R17" s="2"/>
      <c r="S17" s="2"/>
      <c r="T17" s="2"/>
      <c r="U17" s="2"/>
    </row>
    <row r="18" spans="1:21" ht="15.95" customHeight="1" x14ac:dyDescent="0.25">
      <c r="A18" s="14" t="s">
        <v>197</v>
      </c>
      <c r="B18" s="14"/>
      <c r="C18" s="15"/>
      <c r="D18" s="16"/>
      <c r="E18" s="16"/>
      <c r="F18" s="16"/>
      <c r="G18" s="14" t="s">
        <v>197</v>
      </c>
      <c r="H18" s="14"/>
      <c r="I18" s="15"/>
      <c r="J18" s="16"/>
      <c r="K18" s="16"/>
      <c r="L18" s="16"/>
      <c r="N18" s="2"/>
      <c r="O18" s="2"/>
      <c r="P18" s="2"/>
      <c r="Q18" s="2"/>
      <c r="R18" s="2"/>
      <c r="S18" s="2"/>
      <c r="T18" s="2"/>
      <c r="U18" s="2"/>
    </row>
    <row r="19" spans="1:21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N19" s="2"/>
      <c r="O19" s="2"/>
      <c r="P19" s="2"/>
      <c r="Q19" s="2"/>
      <c r="R19" s="2"/>
      <c r="S19" s="2"/>
      <c r="T19" s="2"/>
      <c r="U19" s="2"/>
    </row>
    <row r="20" spans="1:21" ht="12" customHeight="1" x14ac:dyDescent="0.25">
      <c r="A20" s="349" t="s">
        <v>198</v>
      </c>
      <c r="B20" s="290"/>
      <c r="C20" s="13"/>
      <c r="D20" s="13"/>
      <c r="E20" s="13"/>
      <c r="F20" s="348"/>
      <c r="G20" s="349" t="s">
        <v>199</v>
      </c>
      <c r="H20" s="290"/>
      <c r="I20" s="13"/>
      <c r="J20" s="13"/>
      <c r="K20" s="13"/>
      <c r="L20" s="13"/>
      <c r="N20" s="2"/>
      <c r="O20" s="2"/>
      <c r="P20" s="2"/>
      <c r="Q20" s="2"/>
      <c r="R20" s="2"/>
      <c r="S20" s="2"/>
      <c r="T20" s="2"/>
      <c r="U20" s="2"/>
    </row>
    <row r="21" spans="1:21" ht="12" customHeight="1" x14ac:dyDescent="0.25">
      <c r="A21" s="291"/>
      <c r="B21" s="13"/>
      <c r="C21" s="13"/>
      <c r="D21" s="13"/>
      <c r="E21" s="13"/>
      <c r="F21" s="13"/>
      <c r="G21" s="291"/>
      <c r="H21" s="13"/>
      <c r="I21" s="13"/>
      <c r="J21" s="13"/>
      <c r="K21" s="13"/>
      <c r="L21" s="13"/>
      <c r="N21" s="2"/>
      <c r="O21" s="2"/>
      <c r="P21" s="2"/>
      <c r="Q21" s="2"/>
      <c r="R21" s="2"/>
      <c r="S21" s="2"/>
      <c r="T21" s="2"/>
      <c r="U21" s="2"/>
    </row>
    <row r="22" spans="1:21" ht="12" customHeight="1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N22" s="2"/>
      <c r="O22" s="2"/>
      <c r="P22" s="2"/>
      <c r="Q22" s="2"/>
      <c r="R22" s="2"/>
      <c r="S22" s="2"/>
      <c r="T22" s="2"/>
      <c r="U22" s="2"/>
    </row>
    <row r="23" spans="1:21" ht="12" customHeight="1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N23" s="2"/>
      <c r="O23" s="2"/>
      <c r="P23" s="2"/>
      <c r="Q23" s="2"/>
      <c r="R23" s="2"/>
      <c r="S23" s="2"/>
      <c r="T23" s="2"/>
      <c r="U23" s="2"/>
    </row>
    <row r="24" spans="1:21" ht="12" customHeight="1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N24" s="2"/>
      <c r="O24" s="2"/>
      <c r="P24" s="2"/>
      <c r="Q24" s="2"/>
      <c r="R24" s="2"/>
      <c r="S24" s="2"/>
      <c r="T24" s="2"/>
      <c r="U24" s="2"/>
    </row>
    <row r="25" spans="1:21" ht="12" customHeight="1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N25" s="2"/>
      <c r="O25" s="2"/>
      <c r="P25" s="2"/>
      <c r="Q25" s="2"/>
      <c r="R25" s="2"/>
      <c r="S25" s="2"/>
      <c r="T25" s="2"/>
      <c r="U25" s="2"/>
    </row>
    <row r="26" spans="1:21" ht="12" customHeight="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N26" s="2"/>
      <c r="O26" s="2"/>
      <c r="P26" s="2"/>
      <c r="Q26" s="2"/>
      <c r="R26" s="2"/>
      <c r="S26" s="2"/>
      <c r="T26" s="2"/>
      <c r="U26" s="2"/>
    </row>
    <row r="27" spans="1:21" ht="12" customHeight="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N27" s="2"/>
      <c r="O27" s="2"/>
      <c r="P27" s="2"/>
      <c r="Q27" s="2"/>
      <c r="R27" s="2"/>
      <c r="S27" s="2"/>
      <c r="T27" s="2"/>
      <c r="U27" s="2"/>
    </row>
    <row r="28" spans="1:21" ht="15.95" customHeight="1" x14ac:dyDescent="0.25">
      <c r="A28" s="14" t="s">
        <v>197</v>
      </c>
      <c r="B28" s="14"/>
      <c r="C28" s="15"/>
      <c r="D28" s="16"/>
      <c r="E28" s="16"/>
      <c r="F28" s="16"/>
      <c r="G28" s="14" t="s">
        <v>197</v>
      </c>
      <c r="H28" s="14"/>
      <c r="I28" s="15"/>
      <c r="J28" s="16"/>
      <c r="K28" s="16"/>
      <c r="L28" s="16"/>
      <c r="N28" s="2"/>
      <c r="O28" s="2"/>
      <c r="P28" s="2"/>
      <c r="Q28" s="2"/>
      <c r="R28" s="2"/>
      <c r="S28" s="2"/>
      <c r="T28" s="2"/>
      <c r="U28" s="2"/>
    </row>
    <row r="29" spans="1:21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N29" s="2"/>
      <c r="O29" s="2"/>
      <c r="P29" s="2"/>
      <c r="Q29" s="2"/>
      <c r="R29" s="2"/>
      <c r="S29" s="2"/>
      <c r="T29" s="2"/>
      <c r="U29" s="2"/>
    </row>
    <row r="30" spans="1:21" ht="12" customHeight="1" x14ac:dyDescent="0.25">
      <c r="A30" s="349" t="s">
        <v>200</v>
      </c>
      <c r="B30" s="290"/>
      <c r="C30" s="13"/>
      <c r="D30" s="13"/>
      <c r="E30" s="13"/>
      <c r="F30" s="348"/>
      <c r="G30" s="349" t="s">
        <v>201</v>
      </c>
      <c r="H30" s="290"/>
      <c r="I30" s="13"/>
      <c r="J30" s="13"/>
      <c r="K30" s="13"/>
      <c r="L30" s="13"/>
      <c r="N30" s="2"/>
      <c r="O30" s="2"/>
      <c r="P30" s="2"/>
      <c r="Q30" s="2"/>
      <c r="R30" s="2"/>
      <c r="S30" s="2"/>
      <c r="T30" s="2"/>
      <c r="U30" s="2"/>
    </row>
    <row r="31" spans="1:21" ht="12" customHeight="1" x14ac:dyDescent="0.25">
      <c r="A31" s="291"/>
      <c r="B31" s="13"/>
      <c r="C31" s="13"/>
      <c r="D31" s="13"/>
      <c r="E31" s="13"/>
      <c r="F31" s="13"/>
      <c r="G31" s="291"/>
      <c r="H31" s="13"/>
      <c r="I31" s="13"/>
      <c r="J31" s="13"/>
      <c r="K31" s="13"/>
      <c r="L31" s="13"/>
      <c r="N31" s="2"/>
      <c r="O31" s="2"/>
      <c r="P31" s="2"/>
      <c r="Q31" s="2"/>
      <c r="R31" s="2"/>
      <c r="S31" s="2"/>
      <c r="T31" s="2"/>
      <c r="U31" s="2"/>
    </row>
    <row r="32" spans="1:21" ht="12" customHeight="1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N32" s="2"/>
      <c r="O32" s="2"/>
      <c r="P32" s="2"/>
      <c r="Q32" s="2"/>
      <c r="R32" s="2"/>
      <c r="S32" s="2"/>
      <c r="T32" s="2"/>
      <c r="U32" s="2"/>
    </row>
    <row r="33" spans="1:21" ht="12" customHeight="1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N33" s="2"/>
      <c r="O33" s="2"/>
      <c r="P33" s="2"/>
      <c r="Q33" s="2"/>
      <c r="R33" s="2"/>
      <c r="S33" s="2"/>
      <c r="T33" s="2"/>
      <c r="U33" s="2"/>
    </row>
    <row r="34" spans="1:21" ht="12" customHeight="1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N34" s="2"/>
      <c r="O34" s="2"/>
      <c r="P34" s="2"/>
      <c r="Q34" s="2"/>
      <c r="R34" s="2"/>
      <c r="S34" s="2"/>
      <c r="T34" s="2"/>
      <c r="U34" s="2"/>
    </row>
    <row r="35" spans="1:21" ht="12" customHeight="1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N35" s="2"/>
      <c r="O35" s="2"/>
      <c r="P35" s="2"/>
      <c r="Q35" s="2"/>
      <c r="R35" s="2"/>
      <c r="S35" s="2"/>
      <c r="T35" s="2"/>
      <c r="U35" s="2"/>
    </row>
    <row r="36" spans="1:21" ht="12" customHeight="1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N36" s="2"/>
      <c r="O36" s="2"/>
      <c r="P36" s="2"/>
      <c r="Q36" s="2"/>
      <c r="R36" s="2"/>
      <c r="S36" s="2"/>
      <c r="T36" s="2"/>
      <c r="U36" s="2"/>
    </row>
    <row r="37" spans="1:21" ht="12" customHeight="1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N37" s="2"/>
      <c r="O37" s="2"/>
      <c r="P37" s="2"/>
      <c r="Q37" s="2"/>
      <c r="R37" s="2"/>
      <c r="S37" s="2"/>
      <c r="T37" s="2"/>
      <c r="U37" s="2"/>
    </row>
    <row r="38" spans="1:21" ht="15.95" customHeight="1" x14ac:dyDescent="0.25">
      <c r="A38" s="14" t="s">
        <v>197</v>
      </c>
      <c r="B38" s="14"/>
      <c r="C38" s="15"/>
      <c r="D38" s="16"/>
      <c r="E38" s="16"/>
      <c r="F38" s="16"/>
      <c r="G38" s="14" t="s">
        <v>197</v>
      </c>
      <c r="H38" s="14"/>
      <c r="I38" s="15"/>
      <c r="J38" s="16"/>
      <c r="K38" s="16"/>
      <c r="L38" s="16"/>
      <c r="N38" s="2"/>
      <c r="O38" s="2"/>
      <c r="P38" s="2"/>
      <c r="Q38" s="2"/>
      <c r="R38" s="2"/>
      <c r="S38" s="2"/>
      <c r="T38" s="2"/>
      <c r="U38" s="2"/>
    </row>
    <row r="39" spans="1:2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N39" s="2"/>
      <c r="O39" s="2"/>
      <c r="P39" s="2"/>
      <c r="Q39" s="2"/>
      <c r="R39" s="2"/>
      <c r="S39" s="2"/>
      <c r="T39" s="2"/>
      <c r="U39" s="2"/>
    </row>
    <row r="40" spans="1:21" ht="12" customHeight="1" x14ac:dyDescent="0.25">
      <c r="A40" s="349" t="s">
        <v>202</v>
      </c>
      <c r="B40" s="290"/>
      <c r="C40" s="13"/>
      <c r="D40" s="13"/>
      <c r="E40" s="13"/>
      <c r="F40" s="348"/>
      <c r="G40" s="349" t="s">
        <v>203</v>
      </c>
      <c r="H40" s="290"/>
      <c r="I40" s="13"/>
      <c r="J40" s="13"/>
      <c r="K40" s="13"/>
      <c r="L40" s="13"/>
      <c r="N40" s="2"/>
      <c r="O40" s="2"/>
      <c r="P40" s="2"/>
      <c r="Q40" s="2"/>
      <c r="R40" s="2"/>
      <c r="S40" s="2"/>
      <c r="T40" s="2"/>
      <c r="U40" s="2"/>
    </row>
    <row r="41" spans="1:21" ht="12" customHeight="1" x14ac:dyDescent="0.25">
      <c r="A41" s="291"/>
      <c r="B41" s="13"/>
      <c r="C41" s="13"/>
      <c r="D41" s="13"/>
      <c r="E41" s="13"/>
      <c r="F41" s="13"/>
      <c r="G41" s="291"/>
      <c r="H41" s="13"/>
      <c r="I41" s="13"/>
      <c r="J41" s="13"/>
      <c r="K41" s="13"/>
      <c r="L41" s="13"/>
      <c r="N41" s="2"/>
      <c r="O41" s="2"/>
      <c r="P41" s="2"/>
      <c r="Q41" s="2"/>
      <c r="R41" s="2"/>
      <c r="S41" s="2"/>
      <c r="T41" s="2"/>
      <c r="U41" s="2"/>
    </row>
    <row r="42" spans="1:21" ht="12" customHeight="1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N42" s="2"/>
      <c r="O42" s="2"/>
      <c r="P42" s="2"/>
      <c r="Q42" s="2"/>
      <c r="R42" s="2"/>
      <c r="S42" s="2"/>
      <c r="T42" s="2"/>
      <c r="U42" s="2"/>
    </row>
    <row r="43" spans="1:21" ht="12" customHeight="1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N43" s="2"/>
      <c r="O43" s="2"/>
      <c r="P43" s="2"/>
      <c r="Q43" s="2"/>
      <c r="R43" s="2"/>
      <c r="S43" s="2"/>
      <c r="T43" s="2"/>
      <c r="U43" s="2"/>
    </row>
    <row r="44" spans="1:21" ht="12" customHeight="1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N44" s="2"/>
      <c r="O44" s="2"/>
      <c r="P44" s="2"/>
      <c r="Q44" s="2"/>
      <c r="R44" s="2"/>
      <c r="S44" s="2"/>
      <c r="T44" s="2"/>
      <c r="U44" s="2"/>
    </row>
    <row r="45" spans="1:21" ht="12" customHeight="1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N45" s="2"/>
      <c r="O45" s="2"/>
      <c r="P45" s="2"/>
      <c r="Q45" s="2"/>
      <c r="R45" s="2"/>
      <c r="S45" s="2"/>
      <c r="T45" s="2"/>
      <c r="U45" s="2"/>
    </row>
    <row r="46" spans="1:21" ht="12" customHeight="1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N46" s="2"/>
      <c r="O46" s="2"/>
      <c r="P46" s="2"/>
      <c r="Q46" s="2"/>
      <c r="R46" s="2"/>
      <c r="S46" s="2"/>
      <c r="T46" s="2"/>
      <c r="U46" s="2"/>
    </row>
    <row r="47" spans="1:21" ht="12" customHeight="1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N47" s="2"/>
      <c r="O47" s="2"/>
      <c r="P47" s="2"/>
      <c r="Q47" s="2"/>
      <c r="R47" s="2"/>
      <c r="S47" s="2"/>
      <c r="T47" s="2"/>
      <c r="U47" s="2"/>
    </row>
    <row r="48" spans="1:21" ht="15.95" customHeight="1" x14ac:dyDescent="0.25">
      <c r="A48" s="14" t="s">
        <v>197</v>
      </c>
      <c r="B48" s="14"/>
      <c r="C48" s="15"/>
      <c r="D48" s="16"/>
      <c r="E48" s="16"/>
      <c r="F48" s="16"/>
      <c r="G48" s="14" t="s">
        <v>197</v>
      </c>
      <c r="H48" s="14"/>
      <c r="I48" s="15"/>
      <c r="J48" s="16"/>
      <c r="K48" s="16"/>
      <c r="L48" s="16"/>
      <c r="N48" s="2"/>
      <c r="O48" s="2"/>
      <c r="P48" s="2"/>
      <c r="Q48" s="2"/>
      <c r="R48" s="2"/>
      <c r="S48" s="2"/>
      <c r="T48" s="2"/>
      <c r="U48" s="2"/>
    </row>
    <row r="49" spans="1:2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N49" s="2"/>
      <c r="O49" s="2"/>
      <c r="P49" s="2"/>
      <c r="Q49" s="2"/>
      <c r="R49" s="2"/>
      <c r="S49" s="2"/>
      <c r="T49" s="2"/>
      <c r="U49" s="2"/>
    </row>
    <row r="50" spans="1:2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N50" s="2"/>
      <c r="O50" s="2"/>
      <c r="P50" s="2"/>
      <c r="Q50" s="2"/>
      <c r="R50" s="2"/>
      <c r="S50" s="2"/>
      <c r="T50" s="2"/>
      <c r="U50" s="2"/>
    </row>
    <row r="51" spans="1:2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N51" s="2"/>
      <c r="O51" s="2"/>
      <c r="P51" s="2"/>
      <c r="Q51" s="2"/>
      <c r="R51" s="2"/>
      <c r="S51" s="2"/>
      <c r="T51" s="2"/>
      <c r="U51" s="2"/>
    </row>
    <row r="52" spans="1:2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N52" s="2"/>
      <c r="O52" s="2"/>
      <c r="P52" s="2"/>
      <c r="Q52" s="2"/>
      <c r="R52" s="2"/>
      <c r="S52" s="2"/>
      <c r="T52" s="2"/>
      <c r="U52" s="2"/>
    </row>
    <row r="53" spans="1:2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N53" s="2"/>
      <c r="O53" s="2"/>
      <c r="P53" s="2"/>
      <c r="Q53" s="2"/>
      <c r="R53" s="2"/>
      <c r="S53" s="2"/>
      <c r="T53" s="2"/>
      <c r="U53" s="2"/>
    </row>
    <row r="54" spans="1:2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N54" s="2"/>
      <c r="O54" s="2"/>
      <c r="P54" s="2"/>
      <c r="Q54" s="2"/>
      <c r="R54" s="2"/>
      <c r="S54" s="2"/>
      <c r="T54" s="2"/>
      <c r="U54" s="2"/>
    </row>
    <row r="55" spans="1:2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N55" s="2"/>
      <c r="O55" s="2"/>
      <c r="P55" s="2"/>
      <c r="Q55" s="2"/>
      <c r="R55" s="2"/>
      <c r="S55" s="2"/>
      <c r="T55" s="2"/>
      <c r="U55" s="2"/>
    </row>
    <row r="56" spans="1:2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N56" s="2"/>
      <c r="O56" s="2"/>
      <c r="P56" s="2"/>
      <c r="Q56" s="2"/>
      <c r="R56" s="2"/>
      <c r="S56" s="2"/>
      <c r="T56" s="2"/>
      <c r="U56" s="2"/>
    </row>
    <row r="57" spans="1:2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N57" s="2"/>
      <c r="O57" s="2"/>
      <c r="P57" s="2"/>
      <c r="Q57" s="2"/>
      <c r="R57" s="2"/>
      <c r="S57" s="2"/>
      <c r="T57" s="2"/>
      <c r="U57" s="2"/>
    </row>
    <row r="58" spans="1:2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N58" s="2"/>
      <c r="O58" s="2"/>
      <c r="P58" s="2"/>
      <c r="Q58" s="2"/>
      <c r="R58" s="2"/>
      <c r="S58" s="2"/>
      <c r="T58" s="2"/>
      <c r="U58" s="2"/>
    </row>
    <row r="59" spans="1:2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N59" s="2"/>
      <c r="O59" s="2"/>
      <c r="P59" s="2"/>
      <c r="Q59" s="2"/>
      <c r="R59" s="2"/>
      <c r="S59" s="2"/>
      <c r="T59" s="2"/>
      <c r="U59" s="2"/>
    </row>
    <row r="60" spans="1:2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N60" s="2"/>
      <c r="O60" s="2"/>
      <c r="P60" s="2"/>
      <c r="Q60" s="2"/>
      <c r="R60" s="2"/>
      <c r="S60" s="2"/>
      <c r="T60" s="2"/>
      <c r="U60" s="2"/>
    </row>
    <row r="61" spans="1:21" x14ac:dyDescent="0.25">
      <c r="N61" s="2"/>
      <c r="O61" s="2"/>
      <c r="P61" s="2"/>
      <c r="Q61" s="2"/>
      <c r="R61" s="2"/>
      <c r="S61" s="2"/>
      <c r="T61" s="2"/>
      <c r="U61" s="2"/>
    </row>
    <row r="62" spans="1:21" x14ac:dyDescent="0.25">
      <c r="N62" s="2"/>
      <c r="O62" s="2"/>
      <c r="P62" s="2"/>
      <c r="Q62" s="2"/>
      <c r="R62" s="2"/>
      <c r="S62" s="2"/>
      <c r="T62" s="2"/>
      <c r="U62" s="2"/>
    </row>
    <row r="63" spans="1:21" x14ac:dyDescent="0.25">
      <c r="N63" s="2"/>
      <c r="O63" s="2"/>
      <c r="P63" s="2"/>
      <c r="Q63" s="2"/>
      <c r="R63" s="2"/>
      <c r="S63" s="2"/>
      <c r="T63" s="2"/>
      <c r="U63" s="2"/>
    </row>
    <row r="64" spans="1:21" x14ac:dyDescent="0.25">
      <c r="N64" s="2"/>
      <c r="O64" s="2"/>
      <c r="P64" s="2"/>
      <c r="Q64" s="2"/>
      <c r="R64" s="2"/>
      <c r="S64" s="2"/>
      <c r="T64" s="2"/>
      <c r="U64" s="2"/>
    </row>
    <row r="65" spans="14:21" x14ac:dyDescent="0.25">
      <c r="N65" s="2"/>
      <c r="O65" s="2"/>
      <c r="P65" s="2"/>
      <c r="Q65" s="2"/>
      <c r="R65" s="2"/>
      <c r="S65" s="2"/>
      <c r="T65" s="2"/>
      <c r="U65" s="2"/>
    </row>
    <row r="66" spans="14:21" x14ac:dyDescent="0.25">
      <c r="N66" s="2"/>
      <c r="O66" s="2"/>
      <c r="P66" s="2"/>
      <c r="Q66" s="2"/>
      <c r="R66" s="2"/>
      <c r="S66" s="2"/>
      <c r="T66" s="2"/>
      <c r="U66" s="2"/>
    </row>
    <row r="67" spans="14:21" x14ac:dyDescent="0.25">
      <c r="N67" s="2"/>
      <c r="O67" s="2"/>
      <c r="P67" s="2"/>
      <c r="Q67" s="2"/>
      <c r="R67" s="2"/>
      <c r="S67" s="2"/>
      <c r="T67" s="2"/>
      <c r="U67" s="2"/>
    </row>
    <row r="68" spans="14:21" x14ac:dyDescent="0.25">
      <c r="N68" s="2"/>
      <c r="O68" s="2"/>
      <c r="P68" s="2"/>
      <c r="Q68" s="2"/>
      <c r="R68" s="2"/>
      <c r="S68" s="2"/>
      <c r="T68" s="2"/>
      <c r="U68" s="2"/>
    </row>
    <row r="69" spans="14:21" x14ac:dyDescent="0.25">
      <c r="N69" s="2"/>
      <c r="O69" s="2"/>
      <c r="P69" s="2"/>
      <c r="Q69" s="2"/>
      <c r="R69" s="2"/>
      <c r="S69" s="2"/>
      <c r="T69" s="2"/>
      <c r="U69" s="2"/>
    </row>
    <row r="70" spans="14:21" x14ac:dyDescent="0.25">
      <c r="N70" s="2"/>
      <c r="O70" s="2"/>
      <c r="P70" s="2"/>
      <c r="Q70" s="2"/>
      <c r="R70" s="2"/>
      <c r="S70" s="2"/>
      <c r="T70" s="2"/>
      <c r="U70" s="2"/>
    </row>
    <row r="71" spans="14:21" x14ac:dyDescent="0.25">
      <c r="N71" s="2"/>
      <c r="O71" s="2"/>
      <c r="P71" s="2"/>
      <c r="Q71" s="2"/>
      <c r="R71" s="2"/>
      <c r="S71" s="2"/>
      <c r="T71" s="2"/>
      <c r="U71" s="2"/>
    </row>
    <row r="72" spans="14:21" x14ac:dyDescent="0.25">
      <c r="N72" s="2"/>
      <c r="O72" s="2"/>
      <c r="P72" s="2"/>
      <c r="Q72" s="2"/>
      <c r="R72" s="2"/>
      <c r="S72" s="2"/>
      <c r="T72" s="2"/>
      <c r="U72" s="2"/>
    </row>
    <row r="73" spans="14:21" x14ac:dyDescent="0.25">
      <c r="N73" s="2"/>
      <c r="O73" s="2"/>
      <c r="P73" s="2"/>
      <c r="Q73" s="2"/>
      <c r="R73" s="2"/>
      <c r="S73" s="2"/>
      <c r="T73" s="2"/>
      <c r="U73" s="2"/>
    </row>
    <row r="74" spans="14:21" x14ac:dyDescent="0.25">
      <c r="N74" s="2"/>
      <c r="O74" s="2"/>
      <c r="P74" s="2"/>
      <c r="Q74" s="2"/>
      <c r="R74" s="2"/>
      <c r="S74" s="2"/>
      <c r="T74" s="2"/>
      <c r="U74" s="2"/>
    </row>
    <row r="75" spans="14:21" x14ac:dyDescent="0.25">
      <c r="N75" s="2"/>
      <c r="O75" s="2"/>
      <c r="P75" s="2"/>
      <c r="Q75" s="2"/>
      <c r="R75" s="2"/>
      <c r="S75" s="2"/>
      <c r="T75" s="2"/>
      <c r="U75" s="2"/>
    </row>
    <row r="76" spans="14:21" x14ac:dyDescent="0.25">
      <c r="N76" s="2"/>
      <c r="O76" s="2"/>
      <c r="P76" s="2"/>
      <c r="Q76" s="2"/>
      <c r="R76" s="2"/>
      <c r="S76" s="2"/>
      <c r="T76" s="2"/>
      <c r="U76" s="2"/>
    </row>
    <row r="77" spans="14:21" x14ac:dyDescent="0.25">
      <c r="N77" s="2"/>
      <c r="O77" s="2"/>
      <c r="P77" s="2"/>
      <c r="Q77" s="2"/>
      <c r="R77" s="2"/>
      <c r="S77" s="2"/>
      <c r="T77" s="2"/>
      <c r="U77" s="2"/>
    </row>
    <row r="78" spans="14:21" x14ac:dyDescent="0.25">
      <c r="N78" s="2"/>
      <c r="O78" s="2"/>
      <c r="P78" s="2"/>
      <c r="Q78" s="2"/>
      <c r="R78" s="2"/>
      <c r="S78" s="2"/>
      <c r="T78" s="2"/>
      <c r="U78" s="2"/>
    </row>
    <row r="79" spans="14:21" x14ac:dyDescent="0.25">
      <c r="N79" s="2"/>
      <c r="O79" s="2"/>
      <c r="P79" s="2"/>
      <c r="Q79" s="2"/>
      <c r="R79" s="2"/>
      <c r="S79" s="2"/>
      <c r="T79" s="2"/>
      <c r="U79" s="2"/>
    </row>
    <row r="80" spans="14:21" x14ac:dyDescent="0.25">
      <c r="N80" s="2"/>
      <c r="O80" s="2"/>
      <c r="P80" s="2"/>
      <c r="Q80" s="2"/>
      <c r="R80" s="2"/>
      <c r="S80" s="2"/>
      <c r="T80" s="2"/>
      <c r="U80" s="2"/>
    </row>
    <row r="81" spans="14:21" x14ac:dyDescent="0.25">
      <c r="N81" s="2"/>
      <c r="O81" s="2"/>
      <c r="P81" s="2"/>
      <c r="Q81" s="2"/>
      <c r="R81" s="2"/>
      <c r="S81" s="2"/>
      <c r="T81" s="2"/>
      <c r="U81" s="2"/>
    </row>
    <row r="82" spans="14:21" x14ac:dyDescent="0.25">
      <c r="N82" s="2"/>
      <c r="O82" s="2"/>
      <c r="P82" s="2"/>
      <c r="Q82" s="2"/>
      <c r="R82" s="2"/>
      <c r="S82" s="2"/>
      <c r="T82" s="2"/>
      <c r="U82" s="2"/>
    </row>
    <row r="83" spans="14:21" x14ac:dyDescent="0.25">
      <c r="N83" s="2"/>
      <c r="O83" s="2"/>
      <c r="P83" s="2"/>
      <c r="Q83" s="2"/>
      <c r="R83" s="2"/>
      <c r="S83" s="2"/>
      <c r="T83" s="2"/>
      <c r="U83" s="2"/>
    </row>
    <row r="84" spans="14:21" x14ac:dyDescent="0.25">
      <c r="N84" s="2"/>
      <c r="O84" s="2"/>
      <c r="P84" s="2"/>
      <c r="Q84" s="2"/>
      <c r="R84" s="2"/>
      <c r="S84" s="2"/>
      <c r="T84" s="2"/>
      <c r="U84" s="2"/>
    </row>
    <row r="85" spans="14:21" x14ac:dyDescent="0.25">
      <c r="N85" s="2"/>
      <c r="O85" s="2"/>
      <c r="P85" s="2"/>
      <c r="Q85" s="2"/>
      <c r="R85" s="2"/>
      <c r="S85" s="2"/>
      <c r="T85" s="2"/>
      <c r="U85" s="2"/>
    </row>
    <row r="86" spans="14:21" x14ac:dyDescent="0.25">
      <c r="N86" s="2"/>
      <c r="O86" s="2"/>
      <c r="P86" s="2"/>
      <c r="Q86" s="2"/>
      <c r="R86" s="2"/>
      <c r="S86" s="2"/>
      <c r="T86" s="2"/>
      <c r="U86" s="2"/>
    </row>
    <row r="87" spans="14:21" x14ac:dyDescent="0.25">
      <c r="N87" s="2"/>
      <c r="O87" s="2"/>
      <c r="P87" s="2"/>
      <c r="Q87" s="2"/>
      <c r="R87" s="2"/>
      <c r="S87" s="2"/>
      <c r="T87" s="2"/>
      <c r="U87" s="2"/>
    </row>
    <row r="88" spans="14:21" x14ac:dyDescent="0.25">
      <c r="N88" s="2"/>
      <c r="O88" s="2"/>
      <c r="P88" s="2"/>
      <c r="Q88" s="2"/>
      <c r="R88" s="2"/>
      <c r="S88" s="2"/>
      <c r="T88" s="2"/>
      <c r="U88" s="2"/>
    </row>
    <row r="89" spans="14:21" x14ac:dyDescent="0.25">
      <c r="N89" s="2"/>
      <c r="O89" s="2"/>
      <c r="P89" s="2"/>
      <c r="Q89" s="2"/>
      <c r="R89" s="2"/>
      <c r="S89" s="2"/>
      <c r="T89" s="2"/>
      <c r="U89" s="2"/>
    </row>
    <row r="90" spans="14:21" x14ac:dyDescent="0.25">
      <c r="N90" s="2"/>
      <c r="O90" s="2"/>
      <c r="P90" s="2"/>
      <c r="Q90" s="2"/>
      <c r="R90" s="2"/>
      <c r="S90" s="2"/>
      <c r="T90" s="2"/>
      <c r="U90" s="2"/>
    </row>
    <row r="91" spans="14:21" x14ac:dyDescent="0.25">
      <c r="N91" s="2"/>
      <c r="O91" s="2"/>
      <c r="P91" s="2"/>
      <c r="Q91" s="2"/>
      <c r="R91" s="2"/>
      <c r="S91" s="2"/>
      <c r="T91" s="2"/>
      <c r="U91" s="2"/>
    </row>
    <row r="92" spans="14:21" x14ac:dyDescent="0.25">
      <c r="N92" s="2"/>
      <c r="O92" s="2"/>
      <c r="P92" s="2"/>
      <c r="Q92" s="2"/>
      <c r="R92" s="2"/>
      <c r="S92" s="2"/>
      <c r="T92" s="2"/>
      <c r="U92" s="2"/>
    </row>
    <row r="93" spans="14:21" x14ac:dyDescent="0.25">
      <c r="N93" s="2"/>
      <c r="O93" s="2"/>
      <c r="P93" s="2"/>
      <c r="Q93" s="2"/>
      <c r="R93" s="2"/>
      <c r="S93" s="2"/>
      <c r="T93" s="2"/>
      <c r="U93" s="2"/>
    </row>
    <row r="94" spans="14:21" x14ac:dyDescent="0.25">
      <c r="N94" s="2"/>
      <c r="O94" s="2"/>
      <c r="P94" s="2"/>
      <c r="Q94" s="2"/>
      <c r="R94" s="2"/>
      <c r="S94" s="2"/>
      <c r="T94" s="2"/>
      <c r="U94" s="2"/>
    </row>
    <row r="95" spans="14:21" x14ac:dyDescent="0.25">
      <c r="N95" s="2"/>
      <c r="O95" s="2"/>
      <c r="P95" s="2"/>
      <c r="Q95" s="2"/>
      <c r="R95" s="2"/>
      <c r="S95" s="2"/>
      <c r="T95" s="2"/>
      <c r="U95" s="2"/>
    </row>
    <row r="96" spans="14:21" x14ac:dyDescent="0.25">
      <c r="N96" s="2"/>
      <c r="O96" s="2"/>
      <c r="P96" s="2"/>
      <c r="Q96" s="2"/>
      <c r="R96" s="2"/>
      <c r="S96" s="2"/>
      <c r="T96" s="2"/>
      <c r="U96" s="2"/>
    </row>
    <row r="97" spans="14:21" x14ac:dyDescent="0.25">
      <c r="N97" s="2"/>
      <c r="O97" s="2"/>
      <c r="P97" s="2"/>
      <c r="Q97" s="2"/>
      <c r="R97" s="2"/>
      <c r="S97" s="2"/>
      <c r="T97" s="2"/>
      <c r="U97" s="2"/>
    </row>
    <row r="98" spans="14:21" x14ac:dyDescent="0.25">
      <c r="N98" s="2"/>
      <c r="O98" s="2"/>
      <c r="P98" s="2"/>
      <c r="Q98" s="2"/>
      <c r="R98" s="2"/>
      <c r="S98" s="2"/>
      <c r="T98" s="2"/>
      <c r="U98" s="2"/>
    </row>
    <row r="99" spans="14:21" x14ac:dyDescent="0.25">
      <c r="N99" s="2"/>
      <c r="O99" s="2"/>
      <c r="P99" s="2"/>
      <c r="Q99" s="2"/>
      <c r="R99" s="2"/>
      <c r="S99" s="2"/>
      <c r="T99" s="2"/>
      <c r="U99" s="2"/>
    </row>
    <row r="100" spans="14:21" x14ac:dyDescent="0.25">
      <c r="N100" s="2"/>
      <c r="O100" s="2"/>
      <c r="P100" s="2"/>
      <c r="Q100" s="2"/>
      <c r="R100" s="2"/>
      <c r="S100" s="2"/>
      <c r="T100" s="2"/>
      <c r="U100" s="2"/>
    </row>
    <row r="101" spans="14:21" x14ac:dyDescent="0.25">
      <c r="N101" s="2"/>
      <c r="O101" s="2"/>
      <c r="P101" s="2"/>
      <c r="Q101" s="2"/>
      <c r="R101" s="2"/>
      <c r="S101" s="2"/>
      <c r="T101" s="2"/>
      <c r="U101" s="2"/>
    </row>
    <row r="102" spans="14:21" x14ac:dyDescent="0.25">
      <c r="N102" s="2"/>
      <c r="O102" s="2"/>
      <c r="P102" s="2"/>
      <c r="Q102" s="2"/>
      <c r="R102" s="2"/>
      <c r="S102" s="2"/>
      <c r="T102" s="2"/>
      <c r="U102" s="2"/>
    </row>
    <row r="103" spans="14:21" x14ac:dyDescent="0.25">
      <c r="N103" s="2"/>
      <c r="O103" s="2"/>
      <c r="P103" s="2"/>
      <c r="Q103" s="2"/>
      <c r="R103" s="2"/>
      <c r="S103" s="2"/>
      <c r="T103" s="2"/>
      <c r="U103" s="2"/>
    </row>
    <row r="104" spans="14:21" x14ac:dyDescent="0.25">
      <c r="N104" s="2"/>
      <c r="O104" s="2"/>
      <c r="P104" s="2"/>
      <c r="Q104" s="2"/>
      <c r="R104" s="2"/>
      <c r="S104" s="2"/>
      <c r="T104" s="2"/>
      <c r="U104" s="2"/>
    </row>
    <row r="105" spans="14:21" x14ac:dyDescent="0.25">
      <c r="N105" s="2"/>
      <c r="O105" s="2"/>
      <c r="P105" s="2"/>
      <c r="Q105" s="2"/>
      <c r="R105" s="2"/>
      <c r="S105" s="2"/>
      <c r="T105" s="2"/>
      <c r="U105" s="2"/>
    </row>
    <row r="106" spans="14:21" x14ac:dyDescent="0.25">
      <c r="N106" s="2"/>
      <c r="O106" s="2"/>
      <c r="P106" s="2"/>
      <c r="Q106" s="2"/>
      <c r="R106" s="2"/>
      <c r="S106" s="2"/>
      <c r="T106" s="2"/>
      <c r="U106" s="2"/>
    </row>
    <row r="107" spans="14:21" x14ac:dyDescent="0.25">
      <c r="N107" s="2"/>
      <c r="O107" s="2"/>
      <c r="P107" s="2"/>
      <c r="Q107" s="2"/>
      <c r="R107" s="2"/>
      <c r="S107" s="2"/>
      <c r="T107" s="2"/>
      <c r="U107" s="2"/>
    </row>
    <row r="108" spans="14:21" x14ac:dyDescent="0.25">
      <c r="N108" s="2"/>
      <c r="O108" s="2"/>
      <c r="P108" s="2"/>
      <c r="Q108" s="2"/>
      <c r="R108" s="2"/>
      <c r="S108" s="2"/>
      <c r="T108" s="2"/>
      <c r="U108" s="2"/>
    </row>
    <row r="109" spans="14:21" x14ac:dyDescent="0.25">
      <c r="N109" s="2"/>
      <c r="O109" s="2"/>
      <c r="P109" s="2"/>
      <c r="Q109" s="2"/>
      <c r="R109" s="2"/>
      <c r="S109" s="2"/>
      <c r="T109" s="2"/>
      <c r="U109" s="2"/>
    </row>
    <row r="110" spans="14:21" x14ac:dyDescent="0.25">
      <c r="N110" s="2"/>
      <c r="O110" s="2"/>
      <c r="P110" s="2"/>
      <c r="Q110" s="2"/>
      <c r="R110" s="2"/>
      <c r="S110" s="2"/>
      <c r="T110" s="2"/>
      <c r="U110" s="2"/>
    </row>
    <row r="111" spans="14:21" x14ac:dyDescent="0.25">
      <c r="N111" s="2"/>
      <c r="O111" s="2"/>
      <c r="P111" s="2"/>
      <c r="Q111" s="2"/>
      <c r="R111" s="2"/>
      <c r="S111" s="2"/>
      <c r="T111" s="2"/>
      <c r="U111" s="2"/>
    </row>
    <row r="112" spans="14:21" x14ac:dyDescent="0.25">
      <c r="N112" s="2"/>
      <c r="O112" s="2"/>
      <c r="P112" s="2"/>
      <c r="Q112" s="2"/>
      <c r="R112" s="2"/>
      <c r="S112" s="2"/>
      <c r="T112" s="2"/>
      <c r="U112" s="2"/>
    </row>
    <row r="113" spans="14:21" x14ac:dyDescent="0.25">
      <c r="N113" s="2"/>
      <c r="O113" s="2"/>
      <c r="P113" s="2"/>
      <c r="Q113" s="2"/>
      <c r="R113" s="2"/>
      <c r="S113" s="2"/>
      <c r="T113" s="2"/>
      <c r="U113" s="2"/>
    </row>
    <row r="114" spans="14:21" x14ac:dyDescent="0.25">
      <c r="N114" s="2"/>
      <c r="O114" s="2"/>
      <c r="P114" s="2"/>
      <c r="Q114" s="2"/>
      <c r="R114" s="2"/>
      <c r="S114" s="2"/>
      <c r="T114" s="2"/>
      <c r="U114" s="2"/>
    </row>
    <row r="115" spans="14:21" x14ac:dyDescent="0.25">
      <c r="N115" s="2"/>
      <c r="O115" s="2"/>
      <c r="P115" s="2"/>
      <c r="Q115" s="2"/>
      <c r="R115" s="2"/>
      <c r="S115" s="2"/>
      <c r="T115" s="2"/>
      <c r="U115" s="2"/>
    </row>
  </sheetData>
  <mergeCells count="30">
    <mergeCell ref="A40:F47"/>
    <mergeCell ref="G40:L47"/>
    <mergeCell ref="A48:B48"/>
    <mergeCell ref="C48:F48"/>
    <mergeCell ref="G48:H48"/>
    <mergeCell ref="I48:L48"/>
    <mergeCell ref="A30:F37"/>
    <mergeCell ref="G30:L37"/>
    <mergeCell ref="A38:B38"/>
    <mergeCell ref="C38:F38"/>
    <mergeCell ref="G38:H38"/>
    <mergeCell ref="I38:L38"/>
    <mergeCell ref="A20:F27"/>
    <mergeCell ref="G20:L27"/>
    <mergeCell ref="A28:B28"/>
    <mergeCell ref="C28:F28"/>
    <mergeCell ref="G28:H28"/>
    <mergeCell ref="I28:L28"/>
    <mergeCell ref="A8:L8"/>
    <mergeCell ref="A10:F17"/>
    <mergeCell ref="G10:L17"/>
    <mergeCell ref="A18:B18"/>
    <mergeCell ref="C18:F18"/>
    <mergeCell ref="G18:H18"/>
    <mergeCell ref="I18:L18"/>
    <mergeCell ref="C2:H2"/>
    <mergeCell ref="I2:L3"/>
    <mergeCell ref="C3:H3"/>
    <mergeCell ref="A5:L5"/>
    <mergeCell ref="A7:L7"/>
  </mergeCells>
  <hyperlinks>
    <hyperlink ref="N5" location="'Índice'!N7" tooltip="Abrir guía de uso" display="GUÍA DE USO" xr:uid="{03738C5F-AB5C-41A5-BBDA-0B35A72BA418}"/>
    <hyperlink ref="N6" location="'10. Fotografías'!A1" tooltip="Volver al informe" display="VOLVER AL INFORME" xr:uid="{3E552ACD-FE4E-4979-B3B1-74ECD345A491}"/>
  </hyperlinks>
  <printOptions horizontalCentered="1"/>
  <pageMargins left="0.28000000000000003" right="0.28000000000000003" top="0.4" bottom="0.5" header="0.25" footer="0.25"/>
  <pageSetup scale="93" orientation="portrait" r:id="rId1"/>
  <headerFooter>
    <oddFooter>&amp;C&amp;"Arial"&amp;8&amp;K6B7280&amp;P/&amp;F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13</vt:i4>
      </vt:variant>
    </vt:vector>
  </HeadingPairs>
  <TitlesOfParts>
    <vt:vector size="25" baseType="lpstr">
      <vt:lpstr>Portada</vt:lpstr>
      <vt:lpstr>Índice</vt:lpstr>
      <vt:lpstr>1. Resumen</vt:lpstr>
      <vt:lpstr>2. Antecedentes</vt:lpstr>
      <vt:lpstr>3. Urbanas</vt:lpstr>
      <vt:lpstr>4. Inmueble</vt:lpstr>
      <vt:lpstr>5. Comp. Terreno</vt:lpstr>
      <vt:lpstr>6. Comp. Constr.</vt:lpstr>
      <vt:lpstr>7. Ingresos</vt:lpstr>
      <vt:lpstr>8. Físico</vt:lpstr>
      <vt:lpstr>9. Conciliación</vt:lpstr>
      <vt:lpstr>10. Fotografías</vt:lpstr>
      <vt:lpstr>'1. Resumen'!Área_de_impresión</vt:lpstr>
      <vt:lpstr>'10. Fotografías'!Área_de_impresión</vt:lpstr>
      <vt:lpstr>'2. Antecedentes'!Área_de_impresión</vt:lpstr>
      <vt:lpstr>'3. Urbanas'!Área_de_impresión</vt:lpstr>
      <vt:lpstr>'4. Inmueble'!Área_de_impresión</vt:lpstr>
      <vt:lpstr>'5. Comp. Terreno'!Área_de_impresión</vt:lpstr>
      <vt:lpstr>'6. Comp. Constr.'!Área_de_impresión</vt:lpstr>
      <vt:lpstr>'7. Ingresos'!Área_de_impresión</vt:lpstr>
      <vt:lpstr>'8. Físico'!Área_de_impresión</vt:lpstr>
      <vt:lpstr>'9. Conciliación'!Área_de_impresión</vt:lpstr>
      <vt:lpstr>Índice!Área_de_impresión</vt:lpstr>
      <vt:lpstr>Portada!Área_de_impresión</vt:lpstr>
      <vt:lpstr>VALOR_CONCLUIDO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Moises Nunez</dc:creator>
  <cp:lastModifiedBy>Moises Nunez</cp:lastModifiedBy>
  <cp:lastPrinted>2026-10-17T08:52:08Z</cp:lastPrinted>
  <dcterms:created xsi:type="dcterms:W3CDTF">2026-10-17T08:52:31Z</dcterms:created>
  <dcterms:modified xsi:type="dcterms:W3CDTF">2026-10-17T08:53:18Z</dcterms:modified>
</cp:coreProperties>
</file>